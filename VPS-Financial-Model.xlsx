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apacity" sheetId="3" state="visible" r:id="rId5"/>
    <sheet name="Startup Costs" sheetId="4" state="visible" r:id="rId6"/>
    <sheet name="Monthly Opex" sheetId="5" state="visible" r:id="rId7"/>
    <sheet name="Revenue &amp; Pricing" sheetId="6" state="visible" r:id="rId8"/>
    <sheet name="Break-Even" sheetId="7" state="visible" r:id="rId9"/>
    <sheet name="Scenarios" sheetId="8" state="visible" r:id="rId10"/>
    <sheet name="Cash Flow 24mo" sheetId="9" state="visible" r:id="rId11"/>
    <sheet name="Viable Config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<sst xmlns="http://schemas.openxmlformats.org/spreadsheetml/2006/main" count="621" uniqueCount="480">
  <si>
    <t xml:space="preserve">VPS Hosting Financial Model</t>
  </si>
  <si>
    <t xml:space="preserve">PURPOSE</t>
  </si>
  <si>
    <t xml:space="preserve">Model startup cost, monthly operating cost, break-even, and revenue for 3, 5, and 10 node Proxmox+Ceph clusters.</t>
  </si>
  <si>
    <t xml:space="preserve">HOW TO USE</t>
  </si>
  <si>
    <t xml:space="preserve">Edit only BLUE cells and YELLOW-filled cells. Everything black is a formula and will recalculate.</t>
  </si>
  <si>
    <t xml:space="preserve">Start on 'Assumptions'. Every figure there is an input you should replace with a real quote.</t>
  </si>
  <si>
    <t xml:space="preserve">IMPORTANT</t>
  </si>
  <si>
    <t xml:space="preserve">All default cost figures are INDICATIVE PLACEHOLDERS, not quotes.</t>
  </si>
  <si>
    <t xml:space="preserve">They came from the assistant's training data (knowledge cutoff May 2026) and vary enormously by</t>
  </si>
  <si>
    <t xml:space="preserve">region, vendor, new vs refurbished, and market conditions. IPv4 and RAM pricing in particular move a lot.</t>
  </si>
  <si>
    <t xml:space="preserve">Replace every one with a real quote before making any decision based on this model.</t>
  </si>
  <si>
    <t xml:space="preserve">NOT ADVICE</t>
  </si>
  <si>
    <t xml:space="preserve">This is a calculation tool, not financial advice. The assistant that built it is not a licensed</t>
  </si>
  <si>
    <t xml:space="preserve">financial advisor. Have an accountant review your assumptions and the resulting plan.</t>
  </si>
  <si>
    <t xml:space="preserve">COLOR LEGEND</t>
  </si>
  <si>
    <t xml:space="preserve">Blue text</t>
  </si>
  <si>
    <t xml:space="preserve">Hardcoded input you should edit</t>
  </si>
  <si>
    <t xml:space="preserve">Yellow fill</t>
  </si>
  <si>
    <t xml:space="preserve">Key assumption - edit this</t>
  </si>
  <si>
    <t xml:space="preserve">Black text</t>
  </si>
  <si>
    <t xml:space="preserve">Formula - do not edit</t>
  </si>
  <si>
    <t xml:space="preserve">Green text</t>
  </si>
  <si>
    <t xml:space="preserve">Link to another sheet</t>
  </si>
  <si>
    <t xml:space="preserve">SHEETS</t>
  </si>
  <si>
    <t xml:space="preserve">Assumptions</t>
  </si>
  <si>
    <t xml:space="preserve">All inputs. Edit here.</t>
  </si>
  <si>
    <t xml:space="preserve">Capacity</t>
  </si>
  <si>
    <t xml:space="preserve">Derives VMs per node from the plan mix. Identifies the binding resource.</t>
  </si>
  <si>
    <t xml:space="preserve">Startup Costs</t>
  </si>
  <si>
    <t xml:space="preserve">One-time capex and setup cost by cluster size.</t>
  </si>
  <si>
    <t xml:space="preserve">Monthly Opex</t>
  </si>
  <si>
    <t xml:space="preserve">Recurring cost by cluster size.</t>
  </si>
  <si>
    <t xml:space="preserve">Revenue &amp; Pricing</t>
  </si>
  <si>
    <t xml:space="preserve">Plan catalogue, ARPU, revenue at target utilisation.</t>
  </si>
  <si>
    <t xml:space="preserve">Break-Even</t>
  </si>
  <si>
    <t xml:space="preserve">Break-even VM count and utilisation by cluster size.</t>
  </si>
  <si>
    <t xml:space="preserve">Scenarios</t>
  </si>
  <si>
    <t xml:space="preserve">Side-by-side 3 / 5 / 10 node comparison.</t>
  </si>
  <si>
    <t xml:space="preserve">Cash Flow 24mo</t>
  </si>
  <si>
    <t xml:space="preserve">Monthly cash flow with a ramp assumption.</t>
  </si>
  <si>
    <t xml:space="preserve">Assumptions - edit blue / yellow cells only</t>
  </si>
  <si>
    <t xml:space="preserve">All cost defaults are indicative placeholders. Replace with real quotes.</t>
  </si>
  <si>
    <t xml:space="preserve">Assumption</t>
  </si>
  <si>
    <t xml:space="preserve">Value</t>
  </si>
  <si>
    <t xml:space="preserve">Unit</t>
  </si>
  <si>
    <t xml:space="preserve">Note / source</t>
  </si>
  <si>
    <t xml:space="preserve">HARDWARE - PER NODE (capex)</t>
  </si>
  <si>
    <t xml:space="preserve">Compute node cost</t>
  </si>
  <si>
    <t xml:space="preserve">$</t>
  </si>
  <si>
    <t xml:space="preserve">Single-socket EPYC, 512GB RAM, 6x7.68TB NVMe PLP, 2x25GbE, redundant PSU. Refurb prior-gen roughly halves this.</t>
  </si>
  <si>
    <t xml:space="preserve">Installed RAM per node</t>
  </si>
  <si>
    <t xml:space="preserve">GB</t>
  </si>
  <si>
    <t xml:space="preserve">See Phase 2: RAM is usually the binding resource.</t>
  </si>
  <si>
    <t xml:space="preserve">CPU threads per node</t>
  </si>
  <si>
    <t xml:space="preserve">threads</t>
  </si>
  <si>
    <t xml:space="preserve">64-core single socket EPYC.</t>
  </si>
  <si>
    <t xml:space="preserve">NVMe drives per node</t>
  </si>
  <si>
    <t xml:space="preserve">drives</t>
  </si>
  <si>
    <t xml:space="preserve">Raw TB per drive</t>
  </si>
  <si>
    <t xml:space="preserve">TB</t>
  </si>
  <si>
    <t xml:space="preserve">Reserved RAM per node</t>
  </si>
  <si>
    <t xml:space="preserve">6 OSDs x 6GB + 4GB ZFS ARC + 8GB host. Not sellable.</t>
  </si>
  <si>
    <t xml:space="preserve">SHARED INFRASTRUCTURE (capex, one-time)</t>
  </si>
  <si>
    <t xml:space="preserve">Backup server (PBS) + capacity</t>
  </si>
  <si>
    <t xml:space="preserve">Must be separate physical hardware.</t>
  </si>
  <si>
    <t xml:space="preserve">Switches (2x 25GbE)</t>
  </si>
  <si>
    <t xml:space="preserve">Pair, with MLAG. Refurb prior-gen roughly 2000-5000 each.</t>
  </si>
  <si>
    <t xml:space="preserve">Border routers (2x)</t>
  </si>
  <si>
    <t xml:space="preserve">Software routing on x86 with FRR/VyOS is the budget option.</t>
  </si>
  <si>
    <t xml:space="preserve">Rack rails, PDUs, cables, optics</t>
  </si>
  <si>
    <t xml:space="preserve">Easy to underestimate. Add 10% contingency.</t>
  </si>
  <si>
    <t xml:space="preserve">Spares kit</t>
  </si>
  <si>
    <t xml:space="preserve">1-2 NVMe, optics, PSU, boot SSD, fan.</t>
  </si>
  <si>
    <t xml:space="preserve">Monitoring host</t>
  </si>
  <si>
    <t xml:space="preserve">Must run OUTSIDE the production cluster.</t>
  </si>
  <si>
    <t xml:space="preserve">SETUP AND PROFESSIONAL COSTS (one-time)</t>
  </si>
  <si>
    <t xml:space="preserve">Legal - policy drafting and review</t>
  </si>
  <si>
    <t xml:space="preserve">AUP, ToS, SLA, Privacy, DPA, DMCA. Hosting/telecoms-experienced lawyer.</t>
  </si>
  <si>
    <t xml:space="preserve">Company formation and registration</t>
  </si>
  <si>
    <t xml:space="preserve">Varies enormously by jurisdiction.</t>
  </si>
  <si>
    <t xml:space="preserve">LIR sign-up fee (one-time)</t>
  </si>
  <si>
    <t xml:space="preserve">RIPE-style one-time fee. VERIFY current RIR fee schedule.</t>
  </si>
  <si>
    <t xml:space="preserve">IPv4 /24 purchase (if buying)</t>
  </si>
  <si>
    <t xml:space="preserve">256 addresses at ~43 each. Market price moves a lot - get broker quotes.</t>
  </si>
  <si>
    <t xml:space="preserve">Colo deposit / installation</t>
  </si>
  <si>
    <t xml:space="preserve">Often 1-2 months rent as deposit.</t>
  </si>
  <si>
    <t xml:space="preserve">Cross-connect installation (one-time)</t>
  </si>
  <si>
    <t xml:space="preserve">Per-connection NRC, several needed.</t>
  </si>
  <si>
    <t xml:space="preserve">Contingency</t>
  </si>
  <si>
    <t xml:space="preserve">% of capex</t>
  </si>
  <si>
    <t xml:space="preserve">Things you have not thought of. Do not set below 10%.</t>
  </si>
  <si>
    <t xml:space="preserve">MONTHLY OPERATING COSTS</t>
  </si>
  <si>
    <t xml:space="preserve">Colo - per rack unit equivalent</t>
  </si>
  <si>
    <t xml:space="preserve">$/mo</t>
  </si>
  <si>
    <t xml:space="preserve">Quarter/half rack incl. power. CHECK whether power is billed separately.</t>
  </si>
  <si>
    <t xml:space="preserve">Colo cost scales at node count</t>
  </si>
  <si>
    <t xml:space="preserve">nodes/rack-block</t>
  </si>
  <si>
    <t xml:space="preserve">How many nodes before you need another rack block.</t>
  </si>
  <si>
    <t xml:space="preserve">IP transit - both providers</t>
  </si>
  <si>
    <t xml:space="preserve">2 providers, committed bandwidth + port fees. Get real quotes.</t>
  </si>
  <si>
    <t xml:space="preserve">Cross-connects recurring</t>
  </si>
  <si>
    <t xml:space="preserve">Recurring, per connection. Adds up.</t>
  </si>
  <si>
    <t xml:space="preserve">IPv4 lease cost per address</t>
  </si>
  <si>
    <t xml:space="preserve">$/IP/mo</t>
  </si>
  <si>
    <t xml:space="preserve">If leasing rather than buying. Market range roughly 0.50-1.00.</t>
  </si>
  <si>
    <t xml:space="preserve">DDoS scrubbing</t>
  </si>
  <si>
    <t xml:space="preserve">Set to 0 for blackhole-only posture (must be disclosed in SLA).</t>
  </si>
  <si>
    <t xml:space="preserve">Proxmox subscription per node</t>
  </si>
  <si>
    <t xml:space="preserve">$/node/mo</t>
  </si>
  <si>
    <t xml:space="preserve">Per socket per node, annual fee divided by 12. VERIFY current pricing.</t>
  </si>
  <si>
    <t xml:space="preserve">PBS subscription</t>
  </si>
  <si>
    <t xml:space="preserve">LIR annual membership (monthly)</t>
  </si>
  <si>
    <t xml:space="preserve">Annual RIR membership / 12. VERIFY current fee schedule.</t>
  </si>
  <si>
    <t xml:space="preserve">Billing platform + Proxmox module</t>
  </si>
  <si>
    <t xml:space="preserve">WHMCS/Blesta licence plus provisioning module.</t>
  </si>
  <si>
    <t xml:space="preserve">Monitoring / misc SaaS</t>
  </si>
  <si>
    <t xml:space="preserve">Status page, SMS alerting, email delivery, DNS.</t>
  </si>
  <si>
    <t xml:space="preserve">Accounting and bookkeeping</t>
  </si>
  <si>
    <t xml:space="preserve">Insurance</t>
  </si>
  <si>
    <t xml:space="preserve">General liability, professional indemnity, cyber.</t>
  </si>
  <si>
    <t xml:space="preserve">Founder / staff cost</t>
  </si>
  <si>
    <t xml:space="preserve">Set to 0 for an unpaid founder, or enter a real salary cost.</t>
  </si>
  <si>
    <t xml:space="preserve">FINANCIAL AND OPERATING PARAMETERS</t>
  </si>
  <si>
    <t xml:space="preserve">Hardware depreciation life</t>
  </si>
  <si>
    <t xml:space="preserve">months</t>
  </si>
  <si>
    <t xml:space="preserve">4 years is typical for servers.</t>
  </si>
  <si>
    <t xml:space="preserve">Payment processing fee</t>
  </si>
  <si>
    <t xml:space="preserve">% of revenue</t>
  </si>
  <si>
    <t xml:space="preserve">Card processing plus fixed fee amortised.</t>
  </si>
  <si>
    <t xml:space="preserve">Chargeback / bad debt allowance</t>
  </si>
  <si>
    <t xml:space="preserve">Hosting is chargeback-prone.</t>
  </si>
  <si>
    <t xml:space="preserve">SLA credit allowance</t>
  </si>
  <si>
    <t xml:space="preserve">Model this. A 99.99% promise with one bad month can wipe a quarter's margin.</t>
  </si>
  <si>
    <t xml:space="preserve">Target sellable utilisation</t>
  </si>
  <si>
    <t xml:space="preserve">% of capacity</t>
  </si>
  <si>
    <t xml:space="preserve">Leave headroom. Never plan to 100%.</t>
  </si>
  <si>
    <t xml:space="preserve">Monthly churn rate</t>
  </si>
  <si>
    <t xml:space="preserve">% of customers</t>
  </si>
  <si>
    <t xml:space="preserve">3-5% is typical for low-cost VPS. Higher than founders expect.</t>
  </si>
  <si>
    <t xml:space="preserve">IPv4 addresses per VM</t>
  </si>
  <si>
    <t xml:space="preserve">addresses</t>
  </si>
  <si>
    <t xml:space="preserve">Your binding revenue constraint in many cases.</t>
  </si>
  <si>
    <t xml:space="preserve">Buy IPv4 (1) or lease (0)?</t>
  </si>
  <si>
    <t xml:space="preserve">flag</t>
  </si>
  <si>
    <t xml:space="preserve">1 = purchase (capex), 0 = lease (opex). Drives which cost path is used.</t>
  </si>
  <si>
    <t xml:space="preserve">Capacity - derive VMs per node from the plan mix (3-node reference)</t>
  </si>
  <si>
    <t xml:space="preserve">The binding resource is whichever gives the LOWEST VM count. Size from this, not from the spec sheet.</t>
  </si>
  <si>
    <t xml:space="preserve">PLAN MIX - edit the blue weight and spec columns</t>
  </si>
  <si>
    <t xml:space="preserve">Plan</t>
  </si>
  <si>
    <t xml:space="preserve">Weight %</t>
  </si>
  <si>
    <t xml:space="preserve">vCPU</t>
  </si>
  <si>
    <t xml:space="preserve">RAM GB</t>
  </si>
  <si>
    <t xml:space="preserve">Disk GB</t>
  </si>
  <si>
    <t xml:space="preserve">IPv4</t>
  </si>
  <si>
    <t xml:space="preserve">Price $/mo</t>
  </si>
  <si>
    <t xml:space="preserve">Note</t>
  </si>
  <si>
    <t xml:space="preserve">S1</t>
  </si>
  <si>
    <t xml:space="preserve">S2</t>
  </si>
  <si>
    <t xml:space="preserve">S4</t>
  </si>
  <si>
    <t xml:space="preserve">S8</t>
  </si>
  <si>
    <t xml:space="preserve">S16</t>
  </si>
  <si>
    <t xml:space="preserve">Total / weighted average</t>
  </si>
  <si>
    <t xml:space="preserve">Weights must sum to 100%. ARPU is column G.</t>
  </si>
  <si>
    <t xml:space="preserve">CAPACITY PER NODE BY RESOURCE</t>
  </si>
  <si>
    <t xml:space="preserve">Resource</t>
  </si>
  <si>
    <t xml:space="preserve">Available</t>
  </si>
  <si>
    <t xml:space="preserve">Per VM</t>
  </si>
  <si>
    <t xml:space="preserve">VMs/node</t>
  </si>
  <si>
    <t xml:space="preserve">RAM</t>
  </si>
  <si>
    <t xml:space="preserve">Installed minus reserved for OSDs, ARC, host. Do NOT overcommit RAM.</t>
  </si>
  <si>
    <t xml:space="preserve">vCPU (at overcommit)</t>
  </si>
  <si>
    <t xml:space="preserve">Threads x overcommit ratio below.</t>
  </si>
  <si>
    <t xml:space="preserve">Disk (Ceph, per node share)</t>
  </si>
  <si>
    <t xml:space="preserve">Raw TB per node / replica 3 x safety factor. GB.</t>
  </si>
  <si>
    <t xml:space="preserve">vCPU overcommit ratio</t>
  </si>
  <si>
    <t xml:space="preserve">3:1 to 4:1 standard shared tier. Monitor CPU steal time.</t>
  </si>
  <si>
    <t xml:space="preserve">Ceph safety factor (3 nodes)</t>
  </si>
  <si>
    <t xml:space="preserve">0.60 on 3 nodes (cannot self-heal), 0.70 at 5, 0.75 at 6+.</t>
  </si>
  <si>
    <t xml:space="preserve">BINDING RESOURCE</t>
  </si>
  <si>
    <t xml:space="preserve">VMs per node (binding)</t>
  </si>
  <si>
    <t xml:space="preserve">3-node reference. Revenue &amp; Pricing recomputes this per cluster size.</t>
  </si>
  <si>
    <t xml:space="preserve">Binding resource is</t>
  </si>
  <si>
    <t xml:space="preserve">Buy more of this resource to increase density.</t>
  </si>
  <si>
    <t xml:space="preserve">ARPU (weighted avg revenue per VM)</t>
  </si>
  <si>
    <t xml:space="preserve">Startup Costs (one-time) by cluster size</t>
  </si>
  <si>
    <t xml:space="preserve">Cost item</t>
  </si>
  <si>
    <t xml:space="preserve">3 nodes</t>
  </si>
  <si>
    <t xml:space="preserve">5 nodes</t>
  </si>
  <si>
    <t xml:space="preserve">10 nodes</t>
  </si>
  <si>
    <t xml:space="preserve">Node count</t>
  </si>
  <si>
    <t xml:space="preserve">Cluster size scenarios.</t>
  </si>
  <si>
    <t xml:space="preserve">CAPEX</t>
  </si>
  <si>
    <t xml:space="preserve">Compute nodes</t>
  </si>
  <si>
    <t xml:space="preserve">Scales with node count.</t>
  </si>
  <si>
    <t xml:space="preserve">Backup server (PBS)</t>
  </si>
  <si>
    <t xml:space="preserve">One, regardless of cluster size at this scale.</t>
  </si>
  <si>
    <t xml:space="preserve">Switches</t>
  </si>
  <si>
    <t xml:space="preserve">One pair up to ~24 nodes.</t>
  </si>
  <si>
    <t xml:space="preserve">Border routers</t>
  </si>
  <si>
    <t xml:space="preserve">Pair.</t>
  </si>
  <si>
    <t xml:space="preserve">Rails, PDUs, cables, optics</t>
  </si>
  <si>
    <t xml:space="preserve">Scales roughly with node count.</t>
  </si>
  <si>
    <t xml:space="preserve">Grows slowly; one kit covers a small cluster.</t>
  </si>
  <si>
    <t xml:space="preserve">Outside the cluster.</t>
  </si>
  <si>
    <t xml:space="preserve">Subtotal capex (hardware)</t>
  </si>
  <si>
    <t xml:space="preserve">SETUP AND PROFESSIONAL</t>
  </si>
  <si>
    <t xml:space="preserve">Legal - policies and review</t>
  </si>
  <si>
    <t xml:space="preserve">AUP, ToS, SLA, Privacy, DPA, DMCA.</t>
  </si>
  <si>
    <t xml:space="preserve">Company formation</t>
  </si>
  <si>
    <t xml:space="preserve">LIR sign-up fee</t>
  </si>
  <si>
    <t xml:space="preserve">One-time. VERIFY current RIR schedule.</t>
  </si>
  <si>
    <t xml:space="preserve">IPv4 purchase (if buying)</t>
  </si>
  <si>
    <t xml:space="preserve">Only if 'Buy IPv4' flag = 1. Scales with VM capacity.</t>
  </si>
  <si>
    <t xml:space="preserve">Colo deposit / install</t>
  </si>
  <si>
    <t xml:space="preserve">Cross-connect install</t>
  </si>
  <si>
    <t xml:space="preserve">Subtotal setup</t>
  </si>
  <si>
    <t xml:space="preserve">Applied to hardware + setup.</t>
  </si>
  <si>
    <t xml:space="preserve">TOTAL STARTUP COST</t>
  </si>
  <si>
    <t xml:space="preserve">Recommended cash reserve (see Cash Flow sheet)</t>
  </si>
  <si>
    <t xml:space="preserve">Total capital required incl. 12mo opex buffer</t>
  </si>
  <si>
    <t xml:space="preserve">Revenue ramps slowly. Model 18 months of runway, not 6.</t>
  </si>
  <si>
    <t xml:space="preserve">Monthly Operating Costs by cluster size</t>
  </si>
  <si>
    <t xml:space="preserve">INFRASTRUCTURE</t>
  </si>
  <si>
    <t xml:space="preserve">Colo (space + power)</t>
  </si>
  <si>
    <t xml:space="preserve">Check whether power is billed separately.</t>
  </si>
  <si>
    <t xml:space="preserve">IP transit (2 providers)</t>
  </si>
  <si>
    <t xml:space="preserve">Scales in steps as commit increases.</t>
  </si>
  <si>
    <t xml:space="preserve">Cross-connects</t>
  </si>
  <si>
    <t xml:space="preserve">Recurring. Easy to forget.</t>
  </si>
  <si>
    <t xml:space="preserve">IPv4 lease (if leasing)</t>
  </si>
  <si>
    <t xml:space="preserve">Zero if buying. Often the largest COGS line.</t>
  </si>
  <si>
    <t xml:space="preserve">Zero = blackhole-only posture, disclose in SLA.</t>
  </si>
  <si>
    <t xml:space="preserve">SOFTWARE AND SERVICES</t>
  </si>
  <si>
    <t xml:space="preserve">Proxmox subscriptions</t>
  </si>
  <si>
    <t xml:space="preserve">Per socket per node. Single-socket keeps this low.</t>
  </si>
  <si>
    <t xml:space="preserve">LIR membership (monthly)</t>
  </si>
  <si>
    <t xml:space="preserve">Annual fee / 12.</t>
  </si>
  <si>
    <t xml:space="preserve">Billing platform + module</t>
  </si>
  <si>
    <t xml:space="preserve">Scales with client count on some licences.</t>
  </si>
  <si>
    <t xml:space="preserve">BUSINESS</t>
  </si>
  <si>
    <t xml:space="preserve">NON-CASH</t>
  </si>
  <si>
    <t xml:space="preserve">Hardware depreciation</t>
  </si>
  <si>
    <t xml:space="preserve">Non-cash, but you must reserve for replacement.</t>
  </si>
  <si>
    <t xml:space="preserve">TOTAL CASH OPEX / MONTH</t>
  </si>
  <si>
    <t xml:space="preserve">TOTAL FULLY-LOADED / MONTH (incl. depreciation)</t>
  </si>
  <si>
    <t xml:space="preserve">(helper: cash opex, referenced by Startup Costs)</t>
  </si>
  <si>
    <t xml:space="preserve">Revenue and Pricing</t>
  </si>
  <si>
    <t xml:space="preserve">PRICING STRATEGY NOTE</t>
  </si>
  <si>
    <t xml:space="preserve">You cannot win on price against Hetzner or DigitalOcean - their scale is a structural advantage.</t>
  </si>
  <si>
    <t xml:space="preserve">Price at a premium and differentiate on: support quality, jurisdiction/data residency, a niche,</t>
  </si>
  <si>
    <t xml:space="preserve">or hardware nobody else offers. A price war you enter at 3 nodes is one you lose.</t>
  </si>
  <si>
    <t xml:space="preserve">The plan catalogue and prices are on the Capacity sheet - edit them there.</t>
  </si>
  <si>
    <t xml:space="preserve">Metric</t>
  </si>
  <si>
    <t xml:space="preserve">Ceph safety factor</t>
  </si>
  <si>
    <t xml:space="preserve">0.60 at 3 nodes, 0.70 at 5, 0.75 at 6+. Larger clusters can run fuller.</t>
  </si>
  <si>
    <t xml:space="preserve">VMs/node - RAM bound</t>
  </si>
  <si>
    <t xml:space="preserve">Does not vary with cluster size.</t>
  </si>
  <si>
    <t xml:space="preserve">VMs/node - vCPU bound</t>
  </si>
  <si>
    <t xml:space="preserve">VMs/node - disk bound</t>
  </si>
  <si>
    <t xml:space="preserve">Varies with the safety factor above.</t>
  </si>
  <si>
    <t xml:space="preserve">VMs per node (binding resource)</t>
  </si>
  <si>
    <t xml:space="preserve">Minimum of the three above.</t>
  </si>
  <si>
    <t xml:space="preserve">Gross cluster VM capacity</t>
  </si>
  <si>
    <t xml:space="preserve">nodes x VMs/node</t>
  </si>
  <si>
    <t xml:space="preserve">Less one node reserve (N+1)</t>
  </si>
  <si>
    <t xml:space="preserve">Required for maintenance and failover. Not sellable.</t>
  </si>
  <si>
    <t xml:space="preserve">Sellable VM capacity</t>
  </si>
  <si>
    <t xml:space="preserve">This is what you can actually sell.</t>
  </si>
  <si>
    <t xml:space="preserve">At target utilisation</t>
  </si>
  <si>
    <t xml:space="preserve">Realistic steady-state VM count.</t>
  </si>
  <si>
    <t xml:space="preserve">ARPU per VM</t>
  </si>
  <si>
    <t xml:space="preserve">Weighted average from the plan mix.</t>
  </si>
  <si>
    <t xml:space="preserve">Gross monthly revenue at target</t>
  </si>
  <si>
    <t xml:space="preserve">Less payment processing</t>
  </si>
  <si>
    <t xml:space="preserve">Less chargebacks / bad debt</t>
  </si>
  <si>
    <t xml:space="preserve">Less SLA credits</t>
  </si>
  <si>
    <t xml:space="preserve">NET MONTHLY REVENUE</t>
  </si>
  <si>
    <t xml:space="preserve">Break-Even Analysis</t>
  </si>
  <si>
    <t xml:space="preserve">Cash opex per month</t>
  </si>
  <si>
    <t xml:space="preserve">Excludes depreciation.</t>
  </si>
  <si>
    <t xml:space="preserve">Fully-loaded cost per month</t>
  </si>
  <si>
    <t xml:space="preserve">Includes depreciation reserve.</t>
  </si>
  <si>
    <t xml:space="preserve">Effective net revenue per VM</t>
  </si>
  <si>
    <t xml:space="preserve">ARPU less processing, bad debt, SLA credits.</t>
  </si>
  <si>
    <t xml:space="preserve">BREAK-EVEN VMs (cash)</t>
  </si>
  <si>
    <t xml:space="preserve">VMs needed to cover cash costs.</t>
  </si>
  <si>
    <t xml:space="preserve">BREAK-EVEN VMs (fully loaded)</t>
  </si>
  <si>
    <t xml:space="preserve">The number that matters. Includes hardware replacement reserve.</t>
  </si>
  <si>
    <t xml:space="preserve">Break-even as % of sellable capacity</t>
  </si>
  <si>
    <t xml:space="preserve">ABOVE 60% MEANS YOUR PRICING IS WRONG.</t>
  </si>
  <si>
    <t xml:space="preserve">Net monthly revenue at target util</t>
  </si>
  <si>
    <t xml:space="preserve">Monthly profit at target utilisation</t>
  </si>
  <si>
    <t xml:space="preserve">Gross margin at target utilisation</t>
  </si>
  <si>
    <t xml:space="preserve">Total startup cost</t>
  </si>
  <si>
    <t xml:space="preserve">Payback period (months, at target)</t>
  </si>
  <si>
    <t xml:space="preserve">From startup cost, once at target utilisation.</t>
  </si>
  <si>
    <t xml:space="preserve">SENSITIVITY - what ARPU do you actually need?</t>
  </si>
  <si>
    <t xml:space="preserve">Required ARPU to break even at target util</t>
  </si>
  <si>
    <t xml:space="preserve">Fully-loaded cost divided by VMs at target utilisation.</t>
  </si>
  <si>
    <t xml:space="preserve">Required ARPU to break even at 100% sellable</t>
  </si>
  <si>
    <t xml:space="preserve">The floor. If your plan prices are below this you cannot ever break even.</t>
  </si>
  <si>
    <t xml:space="preserve">Current ARPU</t>
  </si>
  <si>
    <t xml:space="preserve">From the plan mix.</t>
  </si>
  <si>
    <t xml:space="preserve">Price increase needed at target util</t>
  </si>
  <si>
    <t xml:space="preserve">Negative means you already clear break-even at target utilisation.</t>
  </si>
  <si>
    <t xml:space="preserve">INTERPRETATION</t>
  </si>
  <si>
    <t xml:space="preserve">Break-even above 60% of sellable capacity means your pricing is too low or your cost base too high.</t>
  </si>
  <si>
    <t xml:space="preserve">You will never comfortably fill a cluster, and any churn puts you underwater.</t>
  </si>
  <si>
    <t xml:space="preserve">Levers, in order of effect: raise prices, reduce IPv4 cost, buy more RAM per node, cut DDoS/transit spend.</t>
  </si>
  <si>
    <t xml:space="preserve">Note that 'never' in payback means the scenario loses money at target utilisation - fix the inputs.</t>
  </si>
  <si>
    <t xml:space="preserve">Scenario Comparison: 3 / 5 / 10 nodes</t>
  </si>
  <si>
    <t xml:space="preserve">Comment</t>
  </si>
  <si>
    <t xml:space="preserve">Cash opex / month</t>
  </si>
  <si>
    <t xml:space="preserve">Fully-loaded cost / month</t>
  </si>
  <si>
    <t xml:space="preserve">After N+1 reserve</t>
  </si>
  <si>
    <t xml:space="preserve">Net revenue at target util</t>
  </si>
  <si>
    <t xml:space="preserve">Break-even VMs (fully loaded)</t>
  </si>
  <si>
    <t xml:space="preserve">Break-even % of capacity</t>
  </si>
  <si>
    <t xml:space="preserve">Target below 60%</t>
  </si>
  <si>
    <t xml:space="preserve">Monthly profit at target</t>
  </si>
  <si>
    <t xml:space="preserve">Gross margin at target</t>
  </si>
  <si>
    <t xml:space="preserve">Payback (months)</t>
  </si>
  <si>
    <t xml:space="preserve">QUALITATIVE DIFFERENCES (not in the numbers)</t>
  </si>
  <si>
    <t xml:space="preserve">Aspect</t>
  </si>
  <si>
    <t xml:space="preserve">Ceph self-healing</t>
  </si>
  <si>
    <t xml:space="preserve">No</t>
  </si>
  <si>
    <t xml:space="preserve">Yes</t>
  </si>
  <si>
    <t xml:space="preserve">3 nodes cannot rebuild a lost replica - no 4th host</t>
  </si>
  <si>
    <t xml:space="preserve">Rolling maintenance</t>
  </si>
  <si>
    <t xml:space="preserve">Degraded</t>
  </si>
  <si>
    <t xml:space="preserve">Clean</t>
  </si>
  <si>
    <t xml:space="preserve">5+ nodes allows non-disruptive node work</t>
  </si>
  <si>
    <t xml:space="preserve">60%</t>
  </si>
  <si>
    <t xml:space="preserve">70%</t>
  </si>
  <si>
    <t xml:space="preserve">75%</t>
  </si>
  <si>
    <t xml:space="preserve">How full you can safely run</t>
  </si>
  <si>
    <t xml:space="preserve">Defensible SLA</t>
  </si>
  <si>
    <t xml:space="preserve">99.5-99.9%</t>
  </si>
  <si>
    <t xml:space="preserve">99.9-99.95%</t>
  </si>
  <si>
    <t xml:space="preserve">99.95%</t>
  </si>
  <si>
    <t xml:space="preserve">Derive from your own measured RTO</t>
  </si>
  <si>
    <t xml:space="preserve">Rack failure domains</t>
  </si>
  <si>
    <t xml:space="preserve">Possible</t>
  </si>
  <si>
    <t xml:space="preserve">Needs 3+ racks for size=3</t>
  </si>
  <si>
    <t xml:space="preserve">Operational headroom</t>
  </si>
  <si>
    <t xml:space="preserve">Tight</t>
  </si>
  <si>
    <t xml:space="preserve">Comfortable</t>
  </si>
  <si>
    <t xml:space="preserve">Good</t>
  </si>
  <si>
    <t xml:space="preserve">KEY CONCLUSION</t>
  </si>
  <si>
    <t xml:space="preserve">3 to 4 nodes is a QUALITATIVE change, not a quantitative one: it introduces Ceph self-healing.</t>
  </si>
  <si>
    <t xml:space="preserve">It is the highest-return infrastructure purchase you will make. Order it at 55% raw utilisation,</t>
  </si>
  <si>
    <t xml:space="preserve">not when you are full - hardware lead time plus rebalance time means 'when full' is too late.</t>
  </si>
  <si>
    <t xml:space="preserve">24-Month Cash Flow - 3 node cluster</t>
  </si>
  <si>
    <t xml:space="preserve">Edit the blue ramp row. Revenue arrives monthly; capex is spent up front. This is where founders get caught.</t>
  </si>
  <si>
    <t xml:space="preserve">Month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</si>
  <si>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</si>
  <si>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</si>
  <si>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</si>
  <si>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</si>
  <si>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</si>
  <si>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</si>
  <si>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</si>
  <si>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</si>
  <si>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</si>
  <si>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</si>
  <si>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</si>
  <si>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</si>
  <si>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</si>
  <si>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</si>
  <si>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</si>
  <si>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</si>
  <si>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</si>
  <si>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</si>
  <si>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</si>
  <si>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</si>
  <si>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</si>
  <si>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</si>
  <si>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</si>
  <si>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</si>
  <si>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Net new VMs (input)</t>
  </si>
  <si>
    <t xml:space="preserve">Churned VMs</t>
  </si>
  <si>
    <t xml:space="preserve">Active VMs (cumulative)</t>
  </si>
  <si>
    <t xml:space="preserve">Gross revenue</t>
  </si>
  <si>
    <t xml:space="preserve">Revenue deductions</t>
  </si>
  <si>
    <t xml:space="preserve">Net revenue</t>
  </si>
  <si>
    <t xml:space="preserve">Cash opex</t>
  </si>
  <si>
    <t xml:space="preserve">Capex (month 1)</t>
  </si>
  <si>
    <t xml:space="preserve">Monthly net cash flow</t>
  </si>
  <si>
    <t xml:space="preserve">Cumulative cash position</t>
  </si>
  <si>
    <t xml:space="preserve">SUMMARY</t>
  </si>
  <si>
    <t xml:space="preserve">Peak cash requirement</t>
  </si>
  <si>
    <t xml:space="preserve">The capital you must have available. Add margin.</t>
  </si>
  <si>
    <t xml:space="preserve">Active VMs at month 24</t>
  </si>
  <si>
    <t xml:space="preserve">Net revenue at month 24</t>
  </si>
  <si>
    <t xml:space="preserve">Monthly cash flow at month 24</t>
  </si>
  <si>
    <t xml:space="preserve">Cash position at month 24</t>
  </si>
  <si>
    <t xml:space="preserve">Negative means you have not recovered startup cost yet.</t>
  </si>
  <si>
    <t xml:space="preserve">NOTE: hardware capex hits in month 1 while revenue ramps over two years.</t>
  </si>
  <si>
    <t xml:space="preserve">The 'peak cash requirement' figure above is the number that determines whether this plan is viable for you.</t>
  </si>
  <si>
    <t xml:space="preserve">Model 18 months of runway, not 6. Revenue ramps slower than every founder expects.</t>
  </si>
  <si>
    <t xml:space="preserve">Viable Configuration - all three levers moved together</t>
  </si>
  <si>
    <t xml:space="preserve">The baseline scenario does not break even. This sheet models the corrected fix.</t>
  </si>
  <si>
    <t xml:space="preserve">WHY 'JUST BUY MORE RAM' DOES NOT WORK</t>
  </si>
  <si>
    <t xml:space="preserve">Baseline VMs/node by resource (3 nodes):</t>
  </si>
  <si>
    <t xml:space="preserve">  RAM bound (512GB)</t>
  </si>
  <si>
    <t xml:space="preserve">Nearly tied with disk.</t>
  </si>
  <si>
    <t xml:space="preserve">  vCPU bound (128 threads @ 3.5x)</t>
  </si>
  <si>
    <t xml:space="preserve">Plenty of headroom.</t>
  </si>
  <si>
    <t xml:space="preserve">  Disk bound (6x7.68TB, safety 0.60)</t>
  </si>
  <si>
    <t xml:space="preserve">BINDS - marginally below RAM.</t>
  </si>
  <si>
    <t xml:space="preserve">  If you ONLY double RAM to 1TB:</t>
  </si>
  <si>
    <t xml:space="preserve">Disk still binds at 59.1. Gain is ZERO. RAM alone is not the lever.</t>
  </si>
  <si>
    <t xml:space="preserve">Correct fix: move RAM, DISK, and PRICE together. Then vCPU becomes the binding resource.</t>
  </si>
  <si>
    <t xml:space="preserve">ALTERNATIVE ASSUMPTIONS - edit these (blue/yellow)</t>
  </si>
  <si>
    <t xml:space="preserve">Rationale</t>
  </si>
  <si>
    <t xml:space="preserve">Node cost (prior-gen platform)</t>
  </si>
  <si>
    <t xml:space="preserve">Prior-generation/refurbished platform, 1TB RAM, 6x15.36TB NVMe. More than baseline because the drives are larger.</t>
  </si>
  <si>
    <t xml:space="preserve">Doubled. Necessary but NOT sufficient on its own.</t>
  </si>
  <si>
    <t xml:space="preserve">Slightly higher than baseline: more OSD capacity to manage.</t>
  </si>
  <si>
    <t xml:space="preserve">Unchanged.</t>
  </si>
  <si>
    <t xml:space="preserve">Unchanged count.</t>
  </si>
  <si>
    <t xml:space="preserve">DOUBLED from 7.68TB. This is the lever that actually unblocks density.</t>
  </si>
  <si>
    <t xml:space="preserve">Thin provisioning ratio</t>
  </si>
  <si>
    <t xml:space="preserve">x</t>
  </si>
  <si>
    <t xml:space="preserve">Sold disk vs actual consumption. Monitor real usage; above 2x is gambling.</t>
  </si>
  <si>
    <t xml:space="preserve">Switches (refurbished pair)</t>
  </si>
  <si>
    <t xml:space="preserve">Prior-generation refurbished 25GbE pair.</t>
  </si>
  <si>
    <t xml:space="preserve">Software routing on x86 with FRR/VyOS.</t>
  </si>
  <si>
    <t xml:space="preserve">Other hardware (PBS, misc, spares, monitoring)</t>
  </si>
  <si>
    <t xml:space="preserve">PBS 9000 + rails/cables 3500 + spares 3000 + monitoring host 2500.</t>
  </si>
  <si>
    <t xml:space="preserve">Setup and professional costs</t>
  </si>
  <si>
    <t xml:space="preserve">Legal, formation, LIR, colo/xconn setup, plus one IPv4 /24 purchase.</t>
  </si>
  <si>
    <t xml:space="preserve">Do not set below 10%.</t>
  </si>
  <si>
    <t xml:space="preserve">Cash opex per month (3 nodes)</t>
  </si>
  <si>
    <t xml:space="preserve">Same as baseline. DDoS scrubbing KEPT - dropping it saves ~700/mo but costs you the ability to keep an attacked customer online.</t>
  </si>
  <si>
    <t xml:space="preserve">Depreciation life</t>
  </si>
  <si>
    <t xml:space="preserve">Unchanged. Monitor CPU steal time.</t>
  </si>
  <si>
    <t xml:space="preserve">Target utilisation</t>
  </si>
  <si>
    <t xml:space="preserve">%</t>
  </si>
  <si>
    <t xml:space="preserve">Revenue deductions (processing+baddebt+SLA)</t>
  </si>
  <si>
    <t xml:space="preserve">Same as baseline: 2.9% + 1.5% + 0.5%.</t>
  </si>
  <si>
    <t xml:space="preserve">PREMIUM PLAN PRICING - the third lever</t>
  </si>
  <si>
    <t xml:space="preserve">Weight</t>
  </si>
  <si>
    <t xml:space="preserve">Premium price</t>
  </si>
  <si>
    <t xml:space="preserve">Baseline</t>
  </si>
  <si>
    <t xml:space="preserve">baseline was $8</t>
  </si>
  <si>
    <t xml:space="preserve">baseline was $15</t>
  </si>
  <si>
    <t xml:space="preserve">baseline was $29</t>
  </si>
  <si>
    <t xml:space="preserve">baseline was $58</t>
  </si>
  <si>
    <t xml:space="preserve">baseline was $115</t>
  </si>
  <si>
    <t xml:space="preserve">Weighted average</t>
  </si>
  <si>
    <t xml:space="preserve">CAPACITY PER NODE</t>
  </si>
  <si>
    <t xml:space="preserve">Larger clusters run fuller.</t>
  </si>
  <si>
    <t xml:space="preserve">Now far above the others thanks to bigger drives + thin provisioning.</t>
  </si>
  <si>
    <t xml:space="preserve">vCPU now binds - the correct outcome.</t>
  </si>
  <si>
    <t xml:space="preserve">Sellable VMs (after N+1)</t>
  </si>
  <si>
    <t xml:space="preserve">VMs at target utilisation</t>
  </si>
  <si>
    <t xml:space="preserve">ECONOMICS</t>
  </si>
  <si>
    <t xml:space="preserve">Hardware capex</t>
  </si>
  <si>
    <t xml:space="preserve">Nodes + switches + routers + other.</t>
  </si>
  <si>
    <t xml:space="preserve">Incl. setup and contingency.</t>
  </si>
  <si>
    <t xml:space="preserve">Depreciation / month</t>
  </si>
  <si>
    <t xml:space="preserve">Scales in steps with cluster size.</t>
  </si>
  <si>
    <t xml:space="preserve">Premium pricing.</t>
  </si>
  <si>
    <t xml:space="preserve">After processing, bad debt, SLA credits.</t>
  </si>
  <si>
    <t xml:space="preserve">Net revenue at target utilisation</t>
  </si>
  <si>
    <t xml:space="preserve">TARGET: below 60%.</t>
  </si>
  <si>
    <t xml:space="preserve">Payback period (months)</t>
  </si>
  <si>
    <t xml:space="preserve">BASELINE vs VIABLE - 3 node cluster</t>
  </si>
  <si>
    <t xml:space="preserve">Viable config</t>
  </si>
  <si>
    <t xml:space="preserve">Change</t>
  </si>
  <si>
    <t xml:space="preserve">VMs per node</t>
  </si>
  <si>
    <t xml:space="preserve">ARPU</t>
  </si>
  <si>
    <t xml:space="preserve">Break-even VMs</t>
  </si>
  <si>
    <t xml:space="preserve">The three levers must move TOGETHER. Bigger drives alone leave RAM binding; more RAM alone leaves disk binding;</t>
  </si>
  <si>
    <t xml:space="preserve">and neither fixes the economics without premium pricing, because the fixed-cost base is what makes 3 nodes hard.</t>
  </si>
  <si>
    <t xml:space="preserve">DDoS scrubbing is deliberately RETAINED here. Dropping it saves ~$700/mo and is a legitimate launch posture,</t>
  </si>
  <si>
    <t xml:space="preserve">but it means an attacked customer goes offline - disclose it in your SLA exclusions if you choose it.</t>
  </si>
  <si>
    <t xml:space="preserve">Thin provisioning at 1.5x is an assumption you must MONITOR. Track actual consumption vs sold and alert at 70%</t>
  </si>
  <si>
    <t xml:space="preserve">of real capacity. Above 2x is gambling with a resource you cannot reclaim quickly.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</si>
</sst>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;\(#,##0\);\-"/>
    <numFmt numFmtId="167" formatCode="#,##0.0"/>
    <numFmt numFmtId="168" formatCode="0.0%"/>
    <numFmt numFmtId="169" formatCode="\$#,##0.00;&quot;($&quot;#,##0.00\);\-"/>
    <numFmt numFmtId="170" formatCode="\$#,##0;&quot;($&quot;#,##0\);\-"/>
    <numFmt numFmtId="171" formatCode="#,##0;\(#,##0\);\-"/>
    <numFmt numFmtId="172" formatCode="\$#,##0.00;&quot;($&quot;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78"/>
  </cols>
  <sheetData>
    <row r="1" customFormat="false" ht="15.75" hidden="false" customHeight="true" outlineLevel="0" collapsed="false">
      <c r="B1" s="2" t="s">
        <v>0</v>
      </c>
    </row>
    <row r="3" customFormat="false" ht="15" hidden="false" customHeight="true" outlineLevel="0" collapsed="false">
      <c r="B3" s="3" t="s">
        <v>1</v>
      </c>
      <c r="C3" s="4" t="s">
        <v>2</v>
      </c>
    </row>
    <row r="4" customFormat="false" ht="15" hidden="false" customHeight="true" outlineLevel="0" collapsed="false">
      <c r="C4" s="4"/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C6" s="4" t="s">
        <v>5</v>
      </c>
    </row>
    <row r="7" customFormat="false" ht="15" hidden="false" customHeight="true" outlineLevel="0" collapsed="false">
      <c r="C7" s="4"/>
    </row>
    <row r="8" customFormat="false" ht="15" hidden="false" customHeight="true" outlineLevel="0" collapsed="false">
      <c r="B8" s="3" t="s">
        <v>6</v>
      </c>
      <c r="C8" s="5" t="s">
        <v>7</v>
      </c>
    </row>
    <row r="9" customFormat="false" ht="15" hidden="false" customHeight="true" outlineLevel="0" collapsed="false">
      <c r="C9" s="4" t="s">
        <v>8</v>
      </c>
    </row>
    <row r="10" customFormat="false" ht="15" hidden="false" customHeight="true" outlineLevel="0" collapsed="false">
      <c r="C10" s="4" t="s">
        <v>9</v>
      </c>
    </row>
    <row r="11" customFormat="false" ht="15" hidden="false" customHeight="true" outlineLevel="0" collapsed="false">
      <c r="C11" s="4" t="s">
        <v>10</v>
      </c>
    </row>
    <row r="12" customFormat="false" ht="15" hidden="false" customHeight="true" outlineLevel="0" collapsed="false">
      <c r="C12" s="4"/>
    </row>
    <row r="13" customFormat="false" ht="15" hidden="false" customHeight="true" outlineLevel="0" collapsed="false">
      <c r="B13" s="3" t="s">
        <v>11</v>
      </c>
      <c r="C13" s="4" t="s">
        <v>12</v>
      </c>
    </row>
    <row r="14" customFormat="false" ht="15" hidden="false" customHeight="true" outlineLevel="0" collapsed="false">
      <c r="C14" s="4" t="s">
        <v>13</v>
      </c>
    </row>
    <row r="15" customFormat="false" ht="15" hidden="false" customHeight="true" outlineLevel="0" collapsed="false">
      <c r="C15" s="4"/>
    </row>
    <row r="16" customFormat="false" ht="15" hidden="false" customHeight="true" outlineLevel="0" collapsed="false">
      <c r="B16" s="3" t="s">
        <v>14</v>
      </c>
      <c r="C16" s="4"/>
    </row>
    <row r="17" customFormat="false" ht="15" hidden="false" customHeight="true" outlineLevel="0" collapsed="false">
      <c r="B17" s="6" t="s">
        <v>15</v>
      </c>
      <c r="C17" s="4" t="s">
        <v>16</v>
      </c>
    </row>
    <row r="18" customFormat="false" ht="15" hidden="false" customHeight="true" outlineLevel="0" collapsed="false">
      <c r="B18" s="7" t="s">
        <v>17</v>
      </c>
      <c r="C18" s="4" t="s">
        <v>18</v>
      </c>
    </row>
    <row r="19" customFormat="false" ht="15" hidden="false" customHeight="true" outlineLevel="0" collapsed="false">
      <c r="B19" s="4" t="s">
        <v>19</v>
      </c>
      <c r="C19" s="4" t="s">
        <v>20</v>
      </c>
    </row>
    <row r="20" customFormat="false" ht="15" hidden="false" customHeight="true" outlineLevel="0" collapsed="false">
      <c r="B20" s="8" t="s">
        <v>21</v>
      </c>
      <c r="C20" s="4" t="s">
        <v>22</v>
      </c>
    </row>
    <row r="22" customFormat="false" ht="15" hidden="false" customHeight="true" outlineLevel="0" collapsed="false">
      <c r="B22" s="3" t="s">
        <v>23</v>
      </c>
    </row>
    <row r="23" customFormat="false" ht="15" hidden="false" customHeight="true" outlineLevel="0" collapsed="false">
      <c r="B23" s="3" t="s">
        <v>24</v>
      </c>
      <c r="C23" s="4" t="s">
        <v>25</v>
      </c>
    </row>
    <row r="24" customFormat="false" ht="15" hidden="false" customHeight="true" outlineLevel="0" collapsed="false">
      <c r="B24" s="3" t="s">
        <v>26</v>
      </c>
      <c r="C24" s="4" t="s">
        <v>27</v>
      </c>
    </row>
    <row r="25" customFormat="false" ht="15" hidden="false" customHeight="true" outlineLevel="0" collapsed="false">
      <c r="B25" s="3" t="s">
        <v>28</v>
      </c>
      <c r="C25" s="4" t="s">
        <v>29</v>
      </c>
    </row>
    <row r="26" customFormat="false" ht="15" hidden="false" customHeight="true" outlineLevel="0" collapsed="false">
      <c r="B26" s="3" t="s">
        <v>30</v>
      </c>
      <c r="C26" s="4" t="s">
        <v>31</v>
      </c>
    </row>
    <row r="27" customFormat="false" ht="15" hidden="false" customHeight="true" outlineLevel="0" collapsed="false">
      <c r="B27" s="3" t="s">
        <v>32</v>
      </c>
      <c r="C27" s="4" t="s">
        <v>33</v>
      </c>
    </row>
    <row r="28" customFormat="false" ht="15" hidden="false" customHeight="true" outlineLevel="0" collapsed="false">
      <c r="B28" s="3" t="s">
        <v>34</v>
      </c>
      <c r="C28" s="4" t="s">
        <v>35</v>
      </c>
    </row>
    <row r="29" customFormat="false" ht="15" hidden="false" customHeight="true" outlineLevel="0" collapsed="false">
      <c r="B29" s="3" t="s">
        <v>36</v>
      </c>
      <c r="C29" s="4" t="s">
        <v>37</v>
      </c>
    </row>
    <row r="30" customFormat="false" ht="15" hidden="false" customHeight="true" outlineLevel="0" collapsed="false">
      <c r="B30" s="3" t="s">
        <v>38</v>
      </c>
      <c r="C30" s="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62"/>
  </cols>
  <sheetData>
    <row r="1" customFormat="false" ht="15.75" hidden="false" customHeight="true" outlineLevel="0" collapsed="false">
      <c r="A1" s="2" t="s">
        <v>40</v>
      </c>
    </row>
    <row r="2" customFormat="false" ht="15" hidden="false" customHeight="true" outlineLevel="0" collapsed="false">
      <c r="A2" s="9" t="s">
        <v>41</v>
      </c>
    </row>
    <row r="4" customFormat="false" ht="15" hidden="false" customHeight="true" outlineLevel="0" collapsed="false">
      <c r="A4" s="10" t="s">
        <v>42</v>
      </c>
      <c r="B4" s="10" t="s">
        <v>43</v>
      </c>
      <c r="C4" s="10" t="s">
        <v>44</v>
      </c>
      <c r="D4" s="10" t="s">
        <v>45</v>
      </c>
    </row>
    <row r="5" customFormat="false" ht="15" hidden="false" customHeight="true" outlineLevel="0" collapsed="false">
      <c r="A5" s="11" t="s">
        <v>46</v>
      </c>
      <c r="B5" s="12"/>
      <c r="C5" s="12"/>
      <c r="D5" s="12"/>
    </row>
    <row r="6" customFormat="false" ht="15" hidden="false" customHeight="true" outlineLevel="0" collapsed="false">
      <c r="A6" s="4" t="s">
        <v>47</v>
      </c>
      <c r="B6" s="13" t="n">
        <v>14000</v>
      </c>
      <c r="C6" s="4" t="s">
        <v>48</v>
      </c>
      <c r="D6" s="9" t="s">
        <v>49</v>
      </c>
    </row>
    <row r="7" customFormat="false" ht="15" hidden="false" customHeight="true" outlineLevel="0" collapsed="false">
      <c r="A7" s="4" t="s">
        <v>50</v>
      </c>
      <c r="B7" s="14" t="n">
        <v>512</v>
      </c>
      <c r="C7" s="4" t="s">
        <v>51</v>
      </c>
      <c r="D7" s="9" t="s">
        <v>52</v>
      </c>
    </row>
    <row r="8" customFormat="false" ht="15" hidden="false" customHeight="true" outlineLevel="0" collapsed="false">
      <c r="A8" s="4" t="s">
        <v>53</v>
      </c>
      <c r="B8" s="14" t="n">
        <v>128</v>
      </c>
      <c r="C8" s="4" t="s">
        <v>54</v>
      </c>
      <c r="D8" s="9" t="s">
        <v>55</v>
      </c>
    </row>
    <row r="9" customFormat="false" ht="15" hidden="false" customHeight="true" outlineLevel="0" collapsed="false">
      <c r="A9" s="4" t="s">
        <v>56</v>
      </c>
      <c r="B9" s="14" t="n">
        <v>6</v>
      </c>
      <c r="C9" s="4" t="s">
        <v>57</v>
      </c>
      <c r="D9" s="9"/>
    </row>
    <row r="10" customFormat="false" ht="15" hidden="false" customHeight="true" outlineLevel="0" collapsed="false">
      <c r="A10" s="4" t="s">
        <v>58</v>
      </c>
      <c r="B10" s="15" t="n">
        <v>7.68</v>
      </c>
      <c r="C10" s="4" t="s">
        <v>59</v>
      </c>
      <c r="D10" s="9"/>
    </row>
    <row r="11" customFormat="false" ht="15" hidden="false" customHeight="true" outlineLevel="0" collapsed="false">
      <c r="A11" s="4" t="s">
        <v>60</v>
      </c>
      <c r="B11" s="14" t="n">
        <v>48</v>
      </c>
      <c r="C11" s="4" t="s">
        <v>51</v>
      </c>
      <c r="D11" s="9" t="s">
        <v>61</v>
      </c>
    </row>
    <row r="12" customFormat="false" ht="15" hidden="false" customHeight="true" outlineLevel="0" collapsed="false">
      <c r="A12" s="11" t="s">
        <v>62</v>
      </c>
      <c r="B12" s="12"/>
      <c r="C12" s="12"/>
      <c r="D12" s="12"/>
    </row>
    <row r="13" customFormat="false" ht="15" hidden="false" customHeight="true" outlineLevel="0" collapsed="false">
      <c r="A13" s="4" t="s">
        <v>63</v>
      </c>
      <c r="B13" s="13" t="n">
        <v>9000</v>
      </c>
      <c r="C13" s="4" t="s">
        <v>48</v>
      </c>
      <c r="D13" s="9" t="s">
        <v>64</v>
      </c>
    </row>
    <row r="14" customFormat="false" ht="15" hidden="false" customHeight="true" outlineLevel="0" collapsed="false">
      <c r="A14" s="4" t="s">
        <v>65</v>
      </c>
      <c r="B14" s="13" t="n">
        <v>12000</v>
      </c>
      <c r="C14" s="4" t="s">
        <v>48</v>
      </c>
      <c r="D14" s="9" t="s">
        <v>66</v>
      </c>
    </row>
    <row r="15" customFormat="false" ht="15" hidden="false" customHeight="true" outlineLevel="0" collapsed="false">
      <c r="A15" s="4" t="s">
        <v>67</v>
      </c>
      <c r="B15" s="13" t="n">
        <v>6000</v>
      </c>
      <c r="C15" s="4" t="s">
        <v>48</v>
      </c>
      <c r="D15" s="9" t="s">
        <v>68</v>
      </c>
    </row>
    <row r="16" customFormat="false" ht="15" hidden="false" customHeight="true" outlineLevel="0" collapsed="false">
      <c r="A16" s="4" t="s">
        <v>69</v>
      </c>
      <c r="B16" s="16" t="n">
        <v>3500</v>
      </c>
      <c r="C16" s="4" t="s">
        <v>48</v>
      </c>
      <c r="D16" s="9" t="s">
        <v>70</v>
      </c>
    </row>
    <row r="17" customFormat="false" ht="15" hidden="false" customHeight="true" outlineLevel="0" collapsed="false">
      <c r="A17" s="4" t="s">
        <v>71</v>
      </c>
      <c r="B17" s="16" t="n">
        <v>3000</v>
      </c>
      <c r="C17" s="4" t="s">
        <v>48</v>
      </c>
      <c r="D17" s="9" t="s">
        <v>72</v>
      </c>
    </row>
    <row r="18" customFormat="false" ht="15" hidden="false" customHeight="true" outlineLevel="0" collapsed="false">
      <c r="A18" s="4" t="s">
        <v>73</v>
      </c>
      <c r="B18" s="16" t="n">
        <v>2500</v>
      </c>
      <c r="C18" s="4" t="s">
        <v>48</v>
      </c>
      <c r="D18" s="9" t="s">
        <v>74</v>
      </c>
    </row>
    <row r="19" customFormat="false" ht="15" hidden="false" customHeight="true" outlineLevel="0" collapsed="false">
      <c r="A19" s="11" t="s">
        <v>75</v>
      </c>
      <c r="B19" s="12"/>
      <c r="C19" s="12"/>
      <c r="D19" s="12"/>
    </row>
    <row r="20" customFormat="false" ht="15" hidden="false" customHeight="true" outlineLevel="0" collapsed="false">
      <c r="A20" s="4" t="s">
        <v>76</v>
      </c>
      <c r="B20" s="13" t="n">
        <v>4000</v>
      </c>
      <c r="C20" s="4" t="s">
        <v>48</v>
      </c>
      <c r="D20" s="9" t="s">
        <v>77</v>
      </c>
    </row>
    <row r="21" customFormat="false" ht="15" hidden="false" customHeight="true" outlineLevel="0" collapsed="false">
      <c r="A21" s="4" t="s">
        <v>78</v>
      </c>
      <c r="B21" s="16" t="n">
        <v>1200</v>
      </c>
      <c r="C21" s="4" t="s">
        <v>48</v>
      </c>
      <c r="D21" s="9" t="s">
        <v>79</v>
      </c>
    </row>
    <row r="22" customFormat="false" ht="15" hidden="false" customHeight="true" outlineLevel="0" collapsed="false">
      <c r="A22" s="4" t="s">
        <v>80</v>
      </c>
      <c r="B22" s="13" t="n">
        <v>2200</v>
      </c>
      <c r="C22" s="4" t="s">
        <v>48</v>
      </c>
      <c r="D22" s="9" t="s">
        <v>81</v>
      </c>
    </row>
    <row r="23" customFormat="false" ht="15" hidden="false" customHeight="true" outlineLevel="0" collapsed="false">
      <c r="A23" s="4" t="s">
        <v>82</v>
      </c>
      <c r="B23" s="13" t="n">
        <v>11000</v>
      </c>
      <c r="C23" s="4" t="s">
        <v>48</v>
      </c>
      <c r="D23" s="9" t="s">
        <v>83</v>
      </c>
    </row>
    <row r="24" customFormat="false" ht="15" hidden="false" customHeight="true" outlineLevel="0" collapsed="false">
      <c r="A24" s="4" t="s">
        <v>84</v>
      </c>
      <c r="B24" s="16" t="n">
        <v>2500</v>
      </c>
      <c r="C24" s="4" t="s">
        <v>48</v>
      </c>
      <c r="D24" s="9" t="s">
        <v>85</v>
      </c>
    </row>
    <row r="25" customFormat="false" ht="15" hidden="false" customHeight="true" outlineLevel="0" collapsed="false">
      <c r="A25" s="4" t="s">
        <v>86</v>
      </c>
      <c r="B25" s="16" t="n">
        <v>1500</v>
      </c>
      <c r="C25" s="4" t="s">
        <v>48</v>
      </c>
      <c r="D25" s="9" t="s">
        <v>87</v>
      </c>
    </row>
    <row r="26" customFormat="false" ht="15" hidden="false" customHeight="true" outlineLevel="0" collapsed="false">
      <c r="A26" s="4" t="s">
        <v>88</v>
      </c>
      <c r="B26" s="17" t="n">
        <v>0.12</v>
      </c>
      <c r="C26" s="4" t="s">
        <v>89</v>
      </c>
      <c r="D26" s="9" t="s">
        <v>90</v>
      </c>
    </row>
    <row r="27" customFormat="false" ht="15" hidden="false" customHeight="true" outlineLevel="0" collapsed="false">
      <c r="A27" s="11" t="s">
        <v>91</v>
      </c>
      <c r="B27" s="12"/>
      <c r="C27" s="12"/>
      <c r="D27" s="12"/>
    </row>
    <row r="28" customFormat="false" ht="15" hidden="false" customHeight="true" outlineLevel="0" collapsed="false">
      <c r="A28" s="4" t="s">
        <v>92</v>
      </c>
      <c r="B28" s="13" t="n">
        <v>900</v>
      </c>
      <c r="C28" s="4" t="s">
        <v>93</v>
      </c>
      <c r="D28" s="9" t="s">
        <v>94</v>
      </c>
    </row>
    <row r="29" customFormat="false" ht="15" hidden="false" customHeight="true" outlineLevel="0" collapsed="false">
      <c r="A29" s="4" t="s">
        <v>95</v>
      </c>
      <c r="B29" s="14" t="n">
        <v>6</v>
      </c>
      <c r="C29" s="4" t="s">
        <v>96</v>
      </c>
      <c r="D29" s="9" t="s">
        <v>97</v>
      </c>
    </row>
    <row r="30" customFormat="false" ht="15" hidden="false" customHeight="true" outlineLevel="0" collapsed="false">
      <c r="A30" s="4" t="s">
        <v>98</v>
      </c>
      <c r="B30" s="13" t="n">
        <v>1400</v>
      </c>
      <c r="C30" s="4" t="s">
        <v>93</v>
      </c>
      <c r="D30" s="9" t="s">
        <v>99</v>
      </c>
    </row>
    <row r="31" customFormat="false" ht="15" hidden="false" customHeight="true" outlineLevel="0" collapsed="false">
      <c r="A31" s="4" t="s">
        <v>100</v>
      </c>
      <c r="B31" s="16" t="n">
        <v>400</v>
      </c>
      <c r="C31" s="4" t="s">
        <v>93</v>
      </c>
      <c r="D31" s="9" t="s">
        <v>101</v>
      </c>
    </row>
    <row r="32" customFormat="false" ht="15" hidden="false" customHeight="true" outlineLevel="0" collapsed="false">
      <c r="A32" s="4" t="s">
        <v>102</v>
      </c>
      <c r="B32" s="18" t="n">
        <v>0.7</v>
      </c>
      <c r="C32" s="4" t="s">
        <v>103</v>
      </c>
      <c r="D32" s="9" t="s">
        <v>104</v>
      </c>
    </row>
    <row r="33" customFormat="false" ht="15" hidden="false" customHeight="true" outlineLevel="0" collapsed="false">
      <c r="A33" s="4" t="s">
        <v>105</v>
      </c>
      <c r="B33" s="13" t="n">
        <v>700</v>
      </c>
      <c r="C33" s="4" t="s">
        <v>93</v>
      </c>
      <c r="D33" s="9" t="s">
        <v>106</v>
      </c>
    </row>
    <row r="34" customFormat="false" ht="15" hidden="false" customHeight="true" outlineLevel="0" collapsed="false">
      <c r="A34" s="4" t="s">
        <v>107</v>
      </c>
      <c r="B34" s="16" t="n">
        <v>32</v>
      </c>
      <c r="C34" s="4" t="s">
        <v>108</v>
      </c>
      <c r="D34" s="9" t="s">
        <v>109</v>
      </c>
    </row>
    <row r="35" customFormat="false" ht="15" hidden="false" customHeight="true" outlineLevel="0" collapsed="false">
      <c r="A35" s="4" t="s">
        <v>110</v>
      </c>
      <c r="B35" s="16" t="n">
        <v>32</v>
      </c>
      <c r="C35" s="4" t="s">
        <v>93</v>
      </c>
      <c r="D35" s="9"/>
    </row>
    <row r="36" customFormat="false" ht="15" hidden="false" customHeight="true" outlineLevel="0" collapsed="false">
      <c r="A36" s="4" t="s">
        <v>111</v>
      </c>
      <c r="B36" s="16" t="n">
        <v>145</v>
      </c>
      <c r="C36" s="4" t="s">
        <v>93</v>
      </c>
      <c r="D36" s="9" t="s">
        <v>112</v>
      </c>
    </row>
    <row r="37" customFormat="false" ht="15" hidden="false" customHeight="true" outlineLevel="0" collapsed="false">
      <c r="A37" s="4" t="s">
        <v>113</v>
      </c>
      <c r="B37" s="16" t="n">
        <v>60</v>
      </c>
      <c r="C37" s="4" t="s">
        <v>93</v>
      </c>
      <c r="D37" s="9" t="s">
        <v>114</v>
      </c>
    </row>
    <row r="38" customFormat="false" ht="15" hidden="false" customHeight="true" outlineLevel="0" collapsed="false">
      <c r="A38" s="4" t="s">
        <v>115</v>
      </c>
      <c r="B38" s="16" t="n">
        <v>80</v>
      </c>
      <c r="C38" s="4" t="s">
        <v>93</v>
      </c>
      <c r="D38" s="9" t="s">
        <v>116</v>
      </c>
    </row>
    <row r="39" customFormat="false" ht="15" hidden="false" customHeight="true" outlineLevel="0" collapsed="false">
      <c r="A39" s="4" t="s">
        <v>117</v>
      </c>
      <c r="B39" s="16" t="n">
        <v>350</v>
      </c>
      <c r="C39" s="4" t="s">
        <v>93</v>
      </c>
      <c r="D39" s="9"/>
    </row>
    <row r="40" customFormat="false" ht="15" hidden="false" customHeight="true" outlineLevel="0" collapsed="false">
      <c r="A40" s="4" t="s">
        <v>118</v>
      </c>
      <c r="B40" s="16" t="n">
        <v>250</v>
      </c>
      <c r="C40" s="4" t="s">
        <v>93</v>
      </c>
      <c r="D40" s="9" t="s">
        <v>119</v>
      </c>
    </row>
    <row r="41" customFormat="false" ht="15" hidden="false" customHeight="true" outlineLevel="0" collapsed="false">
      <c r="A41" s="4" t="s">
        <v>120</v>
      </c>
      <c r="B41" s="13" t="n">
        <v>0</v>
      </c>
      <c r="C41" s="4" t="s">
        <v>93</v>
      </c>
      <c r="D41" s="9" t="s">
        <v>121</v>
      </c>
    </row>
    <row r="42" customFormat="false" ht="15" hidden="false" customHeight="true" outlineLevel="0" collapsed="false">
      <c r="A42" s="11" t="s">
        <v>122</v>
      </c>
      <c r="B42" s="12"/>
      <c r="C42" s="12"/>
      <c r="D42" s="12"/>
    </row>
    <row r="43" customFormat="false" ht="15" hidden="false" customHeight="true" outlineLevel="0" collapsed="false">
      <c r="A43" s="4" t="s">
        <v>123</v>
      </c>
      <c r="B43" s="14" t="n">
        <v>48</v>
      </c>
      <c r="C43" s="4" t="s">
        <v>124</v>
      </c>
      <c r="D43" s="9" t="s">
        <v>125</v>
      </c>
    </row>
    <row r="44" customFormat="false" ht="15" hidden="false" customHeight="true" outlineLevel="0" collapsed="false">
      <c r="A44" s="4" t="s">
        <v>126</v>
      </c>
      <c r="B44" s="19" t="n">
        <v>0.029</v>
      </c>
      <c r="C44" s="4" t="s">
        <v>127</v>
      </c>
      <c r="D44" s="9" t="s">
        <v>128</v>
      </c>
    </row>
    <row r="45" customFormat="false" ht="15" hidden="false" customHeight="true" outlineLevel="0" collapsed="false">
      <c r="A45" s="4" t="s">
        <v>129</v>
      </c>
      <c r="B45" s="17" t="n">
        <v>0.015</v>
      </c>
      <c r="C45" s="4" t="s">
        <v>127</v>
      </c>
      <c r="D45" s="9" t="s">
        <v>130</v>
      </c>
    </row>
    <row r="46" customFormat="false" ht="15" hidden="false" customHeight="true" outlineLevel="0" collapsed="false">
      <c r="A46" s="4" t="s">
        <v>131</v>
      </c>
      <c r="B46" s="17" t="n">
        <v>0.005</v>
      </c>
      <c r="C46" s="4" t="s">
        <v>127</v>
      </c>
      <c r="D46" s="9" t="s">
        <v>132</v>
      </c>
    </row>
    <row r="47" customFormat="false" ht="15" hidden="false" customHeight="true" outlineLevel="0" collapsed="false">
      <c r="A47" s="4" t="s">
        <v>133</v>
      </c>
      <c r="B47" s="17" t="n">
        <v>0.75</v>
      </c>
      <c r="C47" s="4" t="s">
        <v>134</v>
      </c>
      <c r="D47" s="9" t="s">
        <v>135</v>
      </c>
    </row>
    <row r="48" customFormat="false" ht="15" hidden="false" customHeight="true" outlineLevel="0" collapsed="false">
      <c r="A48" s="4" t="s">
        <v>136</v>
      </c>
      <c r="B48" s="17" t="n">
        <v>0.035</v>
      </c>
      <c r="C48" s="4" t="s">
        <v>137</v>
      </c>
      <c r="D48" s="9" t="s">
        <v>138</v>
      </c>
    </row>
    <row r="49" customFormat="false" ht="15" hidden="false" customHeight="true" outlineLevel="0" collapsed="false">
      <c r="A49" s="4" t="s">
        <v>139</v>
      </c>
      <c r="B49" s="14" t="n">
        <v>1</v>
      </c>
      <c r="C49" s="4" t="s">
        <v>140</v>
      </c>
      <c r="D49" s="9" t="s">
        <v>141</v>
      </c>
    </row>
    <row r="50" customFormat="false" ht="15" hidden="false" customHeight="true" outlineLevel="0" collapsed="false">
      <c r="A50" s="4" t="s">
        <v>142</v>
      </c>
      <c r="B50" s="20" t="n">
        <v>1</v>
      </c>
      <c r="C50" s="4" t="s">
        <v>143</v>
      </c>
      <c r="D50" s="9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7" min="2" style="1" width="14"/>
    <col collapsed="false" customWidth="true" hidden="false" outlineLevel="0" max="8" min="8" style="1" width="52"/>
  </cols>
  <sheetData>
    <row r="1" customFormat="false" ht="15.75" hidden="false" customHeight="true" outlineLevel="0" collapsed="false">
      <c r="A1" s="2" t="s">
        <v>145</v>
      </c>
    </row>
    <row r="2" customFormat="false" ht="15" hidden="false" customHeight="true" outlineLevel="0" collapsed="false">
      <c r="A2" s="9" t="s">
        <v>146</v>
      </c>
    </row>
    <row r="4" customFormat="false" ht="15" hidden="false" customHeight="true" outlineLevel="0" collapsed="false">
      <c r="A4" s="11" t="s">
        <v>147</v>
      </c>
      <c r="B4" s="12"/>
      <c r="C4" s="12"/>
      <c r="D4" s="12"/>
      <c r="E4" s="12"/>
      <c r="F4" s="12"/>
      <c r="G4" s="12"/>
      <c r="H4" s="12"/>
    </row>
    <row r="5" customFormat="false" ht="15" hidden="false" customHeight="true" outlineLevel="0" collapsed="false">
      <c r="A5" s="10" t="s">
        <v>148</v>
      </c>
      <c r="B5" s="10" t="s">
        <v>149</v>
      </c>
      <c r="C5" s="10" t="s">
        <v>150</v>
      </c>
      <c r="D5" s="10" t="s">
        <v>151</v>
      </c>
      <c r="E5" s="10" t="s">
        <v>152</v>
      </c>
      <c r="F5" s="10" t="s">
        <v>153</v>
      </c>
      <c r="G5" s="10" t="s">
        <v>154</v>
      </c>
      <c r="H5" s="10" t="s">
        <v>155</v>
      </c>
    </row>
    <row r="6" customFormat="false" ht="15" hidden="false" customHeight="true" outlineLevel="0" collapsed="false">
      <c r="A6" s="4" t="s">
        <v>156</v>
      </c>
      <c r="B6" s="19" t="n">
        <v>0.2</v>
      </c>
      <c r="C6" s="14" t="n">
        <v>1</v>
      </c>
      <c r="D6" s="14" t="n">
        <v>2</v>
      </c>
      <c r="E6" s="14" t="n">
        <v>40</v>
      </c>
      <c r="F6" s="14" t="n">
        <v>1</v>
      </c>
      <c r="G6" s="16" t="n">
        <v>8</v>
      </c>
    </row>
    <row r="7" customFormat="false" ht="15" hidden="false" customHeight="true" outlineLevel="0" collapsed="false">
      <c r="A7" s="4" t="s">
        <v>157</v>
      </c>
      <c r="B7" s="19" t="n">
        <v>0.35</v>
      </c>
      <c r="C7" s="14" t="n">
        <v>2</v>
      </c>
      <c r="D7" s="14" t="n">
        <v>4</v>
      </c>
      <c r="E7" s="14" t="n">
        <v>80</v>
      </c>
      <c r="F7" s="14" t="n">
        <v>1</v>
      </c>
      <c r="G7" s="16" t="n">
        <v>15</v>
      </c>
    </row>
    <row r="8" customFormat="false" ht="15" hidden="false" customHeight="true" outlineLevel="0" collapsed="false">
      <c r="A8" s="4" t="s">
        <v>158</v>
      </c>
      <c r="B8" s="19" t="n">
        <v>0.25</v>
      </c>
      <c r="C8" s="14" t="n">
        <v>4</v>
      </c>
      <c r="D8" s="14" t="n">
        <v>8</v>
      </c>
      <c r="E8" s="14" t="n">
        <v>160</v>
      </c>
      <c r="F8" s="14" t="n">
        <v>1</v>
      </c>
      <c r="G8" s="16" t="n">
        <v>29</v>
      </c>
    </row>
    <row r="9" customFormat="false" ht="15" hidden="false" customHeight="true" outlineLevel="0" collapsed="false">
      <c r="A9" s="4" t="s">
        <v>159</v>
      </c>
      <c r="B9" s="19" t="n">
        <v>0.15</v>
      </c>
      <c r="C9" s="14" t="n">
        <v>8</v>
      </c>
      <c r="D9" s="14" t="n">
        <v>16</v>
      </c>
      <c r="E9" s="14" t="n">
        <v>320</v>
      </c>
      <c r="F9" s="14" t="n">
        <v>1</v>
      </c>
      <c r="G9" s="16" t="n">
        <v>58</v>
      </c>
    </row>
    <row r="10" customFormat="false" ht="15" hidden="false" customHeight="true" outlineLevel="0" collapsed="false">
      <c r="A10" s="4" t="s">
        <v>160</v>
      </c>
      <c r="B10" s="19" t="n">
        <v>0.05</v>
      </c>
      <c r="C10" s="14" t="n">
        <v>16</v>
      </c>
      <c r="D10" s="14" t="n">
        <v>32</v>
      </c>
      <c r="E10" s="14" t="n">
        <v>640</v>
      </c>
      <c r="F10" s="14" t="n">
        <v>1</v>
      </c>
      <c r="G10" s="16" t="n">
        <v>115</v>
      </c>
    </row>
    <row r="11" customFormat="false" ht="15" hidden="false" customHeight="true" outlineLevel="0" collapsed="false">
      <c r="A11" s="21" t="s">
        <v>161</v>
      </c>
      <c r="B11" s="22" t="n">
        <f aca="false">SUM(B6:B10)</f>
        <v>1</v>
      </c>
      <c r="C11" s="23" t="n">
        <f aca="false">SUMPRODUCT($B$6:$B$10,C6:C10)/$B$11</f>
        <v>3.9</v>
      </c>
      <c r="D11" s="23" t="n">
        <f aca="false">SUMPRODUCT($B$6:$B$10,D6:D10)/$B$11</f>
        <v>7.8</v>
      </c>
      <c r="E11" s="23" t="n">
        <f aca="false">SUMPRODUCT($B$6:$B$10,E6:E10)/$B$11</f>
        <v>156</v>
      </c>
      <c r="F11" s="23" t="n">
        <f aca="false">SUMPRODUCT($B$6:$B$10,F6:F10)/$B$11</f>
        <v>1</v>
      </c>
      <c r="G11" s="24" t="n">
        <f aca="false">SUMPRODUCT($B$6:$B$10,G6:G10)/$B$11</f>
        <v>28.55</v>
      </c>
      <c r="H11" s="9" t="s">
        <v>162</v>
      </c>
    </row>
    <row r="13" customFormat="false" ht="15" hidden="false" customHeight="true" outlineLevel="0" collapsed="false">
      <c r="A13" s="11" t="s">
        <v>163</v>
      </c>
      <c r="B13" s="12"/>
      <c r="C13" s="12"/>
      <c r="D13" s="12"/>
      <c r="E13" s="12"/>
      <c r="F13" s="12"/>
      <c r="G13" s="12"/>
      <c r="H13" s="12"/>
    </row>
    <row r="14" customFormat="false" ht="15" hidden="false" customHeight="true" outlineLevel="0" collapsed="false">
      <c r="A14" s="10" t="s">
        <v>164</v>
      </c>
      <c r="B14" s="10" t="s">
        <v>165</v>
      </c>
      <c r="C14" s="10" t="s">
        <v>166</v>
      </c>
      <c r="D14" s="10" t="s">
        <v>167</v>
      </c>
      <c r="E14" s="10"/>
      <c r="F14" s="10"/>
      <c r="G14" s="10"/>
      <c r="H14" s="10" t="s">
        <v>155</v>
      </c>
    </row>
    <row r="15" customFormat="false" ht="15" hidden="false" customHeight="true" outlineLevel="0" collapsed="false">
      <c r="A15" s="4" t="s">
        <v>168</v>
      </c>
      <c r="B15" s="25" t="n">
        <f aca="false">Assumptions!B7-Assumptions!B11</f>
        <v>464</v>
      </c>
      <c r="C15" s="26" t="n">
        <f aca="false">D11</f>
        <v>7.8</v>
      </c>
      <c r="D15" s="27" t="n">
        <f aca="false">IF(C15=0,0,B15/C15)</f>
        <v>59.4871794871795</v>
      </c>
      <c r="H15" s="9" t="s">
        <v>169</v>
      </c>
    </row>
    <row r="16" customFormat="false" ht="15" hidden="false" customHeight="true" outlineLevel="0" collapsed="false">
      <c r="A16" s="4" t="s">
        <v>170</v>
      </c>
      <c r="B16" s="25" t="n">
        <f aca="false">Assumptions!B8*B18</f>
        <v>448</v>
      </c>
      <c r="C16" s="26" t="n">
        <f aca="false">C11</f>
        <v>3.9</v>
      </c>
      <c r="D16" s="27" t="n">
        <f aca="false">IF(C16=0,0,B16/C16)</f>
        <v>114.871794871795</v>
      </c>
      <c r="H16" s="9" t="s">
        <v>171</v>
      </c>
    </row>
    <row r="17" customFormat="false" ht="15" hidden="false" customHeight="true" outlineLevel="0" collapsed="false">
      <c r="A17" s="4" t="s">
        <v>172</v>
      </c>
      <c r="B17" s="25" t="n">
        <f aca="false">Assumptions!B9*Assumptions!B10*1000/3*B19</f>
        <v>9216</v>
      </c>
      <c r="C17" s="26" t="n">
        <f aca="false">E11</f>
        <v>156</v>
      </c>
      <c r="D17" s="27" t="n">
        <f aca="false">IF(C17=0,0,B17/C17)</f>
        <v>59.0769230769231</v>
      </c>
      <c r="H17" s="9" t="s">
        <v>173</v>
      </c>
    </row>
    <row r="18" customFormat="false" ht="15" hidden="false" customHeight="true" outlineLevel="0" collapsed="false">
      <c r="A18" s="4" t="s">
        <v>174</v>
      </c>
      <c r="B18" s="28" t="n">
        <v>3.5</v>
      </c>
      <c r="H18" s="9" t="s">
        <v>175</v>
      </c>
    </row>
    <row r="19" customFormat="false" ht="15" hidden="false" customHeight="true" outlineLevel="0" collapsed="false">
      <c r="A19" s="4" t="s">
        <v>176</v>
      </c>
      <c r="B19" s="17" t="n">
        <v>0.6</v>
      </c>
      <c r="H19" s="9" t="s">
        <v>177</v>
      </c>
    </row>
    <row r="21" customFormat="false" ht="15" hidden="false" customHeight="true" outlineLevel="0" collapsed="false">
      <c r="A21" s="11" t="s">
        <v>178</v>
      </c>
      <c r="B21" s="12"/>
      <c r="C21" s="12"/>
      <c r="D21" s="12"/>
      <c r="E21" s="12"/>
      <c r="F21" s="12"/>
      <c r="G21" s="12"/>
      <c r="H21" s="12"/>
    </row>
    <row r="22" customFormat="false" ht="15" hidden="false" customHeight="true" outlineLevel="0" collapsed="false">
      <c r="A22" s="21" t="s">
        <v>179</v>
      </c>
      <c r="B22" s="23" t="n">
        <f aca="false">MIN(D15,D16,D17)</f>
        <v>59.0769230769231</v>
      </c>
      <c r="C22" s="29"/>
      <c r="D22" s="29"/>
      <c r="E22" s="29"/>
      <c r="F22" s="29"/>
      <c r="G22" s="29"/>
      <c r="H22" s="30" t="s">
        <v>180</v>
      </c>
    </row>
    <row r="23" customFormat="false" ht="15" hidden="false" customHeight="true" outlineLevel="0" collapsed="false">
      <c r="A23" s="4" t="s">
        <v>181</v>
      </c>
      <c r="B23" s="1" t="str">
        <f aca="false">IF(B22=D15,"RAM",IF(B22=D16,"vCPU","Disk"))</f>
        <v>Disk</v>
      </c>
      <c r="H23" s="9" t="s">
        <v>182</v>
      </c>
    </row>
    <row r="24" customFormat="false" ht="15" hidden="false" customHeight="true" outlineLevel="0" collapsed="false">
      <c r="A24" s="31" t="s">
        <v>183</v>
      </c>
      <c r="B24" s="24" t="n">
        <f aca="false">G11</f>
        <v>28.55</v>
      </c>
      <c r="C24" s="29"/>
      <c r="D24" s="29"/>
      <c r="E24" s="29"/>
      <c r="F24" s="29"/>
      <c r="G24" s="29"/>
      <c r="H2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58"/>
  </cols>
  <sheetData>
    <row r="1" customFormat="false" ht="15.75" hidden="false" customHeight="true" outlineLevel="0" collapsed="false">
      <c r="A1" s="2" t="s">
        <v>184</v>
      </c>
    </row>
    <row r="3" customFormat="false" ht="15" hidden="false" customHeight="true" outlineLevel="0" collapsed="false">
      <c r="A3" s="10" t="s">
        <v>185</v>
      </c>
      <c r="B3" s="10" t="s">
        <v>186</v>
      </c>
      <c r="C3" s="10" t="s">
        <v>187</v>
      </c>
      <c r="D3" s="10" t="s">
        <v>188</v>
      </c>
      <c r="E3" s="10" t="s">
        <v>155</v>
      </c>
    </row>
    <row r="4" customFormat="false" ht="15" hidden="false" customHeight="true" outlineLevel="0" collapsed="false">
      <c r="A4" s="3" t="s">
        <v>189</v>
      </c>
      <c r="B4" s="14" t="n">
        <v>3</v>
      </c>
      <c r="C4" s="14" t="n">
        <v>5</v>
      </c>
      <c r="D4" s="14" t="n">
        <v>10</v>
      </c>
      <c r="E4" s="9" t="s">
        <v>190</v>
      </c>
    </row>
    <row r="6" customFormat="false" ht="15" hidden="false" customHeight="true" outlineLevel="0" collapsed="false">
      <c r="A6" s="11" t="s">
        <v>191</v>
      </c>
      <c r="B6" s="12"/>
      <c r="C6" s="12"/>
      <c r="D6" s="12"/>
      <c r="E6" s="12"/>
    </row>
    <row r="7" customFormat="false" ht="15" hidden="false" customHeight="true" outlineLevel="0" collapsed="false">
      <c r="A7" s="4" t="s">
        <v>192</v>
      </c>
      <c r="B7" s="32" t="n">
        <f aca="false">Assumptions!$B$6*3</f>
        <v>42000</v>
      </c>
      <c r="C7" s="32" t="n">
        <f aca="false">Assumptions!$B$6*5</f>
        <v>70000</v>
      </c>
      <c r="D7" s="32" t="n">
        <f aca="false">Assumptions!$B$6*10</f>
        <v>140000</v>
      </c>
      <c r="E7" s="9" t="s">
        <v>193</v>
      </c>
    </row>
    <row r="8" customFormat="false" ht="15" hidden="false" customHeight="true" outlineLevel="0" collapsed="false">
      <c r="A8" s="4" t="s">
        <v>194</v>
      </c>
      <c r="B8" s="32" t="n">
        <f aca="false">Assumptions!$B$13</f>
        <v>9000</v>
      </c>
      <c r="C8" s="32" t="n">
        <f aca="false">Assumptions!$B$13</f>
        <v>9000</v>
      </c>
      <c r="D8" s="32" t="n">
        <f aca="false">Assumptions!$B$13</f>
        <v>9000</v>
      </c>
      <c r="E8" s="9" t="s">
        <v>195</v>
      </c>
    </row>
    <row r="9" customFormat="false" ht="15" hidden="false" customHeight="true" outlineLevel="0" collapsed="false">
      <c r="A9" s="4" t="s">
        <v>196</v>
      </c>
      <c r="B9" s="32" t="n">
        <f aca="false">Assumptions!$B$14*IF(3&gt;24,2,1)</f>
        <v>12000</v>
      </c>
      <c r="C9" s="32" t="n">
        <f aca="false">Assumptions!$B$14*IF(5&gt;24,2,1)</f>
        <v>12000</v>
      </c>
      <c r="D9" s="32" t="n">
        <f aca="false">Assumptions!$B$14*IF(10&gt;24,2,1)</f>
        <v>12000</v>
      </c>
      <c r="E9" s="9" t="s">
        <v>197</v>
      </c>
    </row>
    <row r="10" customFormat="false" ht="15" hidden="false" customHeight="true" outlineLevel="0" collapsed="false">
      <c r="A10" s="4" t="s">
        <v>198</v>
      </c>
      <c r="B10" s="32" t="n">
        <f aca="false">Assumptions!$B$15</f>
        <v>6000</v>
      </c>
      <c r="C10" s="32" t="n">
        <f aca="false">Assumptions!$B$15</f>
        <v>6000</v>
      </c>
      <c r="D10" s="32" t="n">
        <f aca="false">Assumptions!$B$15</f>
        <v>6000</v>
      </c>
      <c r="E10" s="9" t="s">
        <v>199</v>
      </c>
    </row>
    <row r="11" customFormat="false" ht="15" hidden="false" customHeight="true" outlineLevel="0" collapsed="false">
      <c r="A11" s="4" t="s">
        <v>200</v>
      </c>
      <c r="B11" s="32" t="n">
        <f aca="false">Assumptions!$B$16*3/3</f>
        <v>3500</v>
      </c>
      <c r="C11" s="32" t="n">
        <f aca="false">Assumptions!$B$16*5/3</f>
        <v>5833.33333333333</v>
      </c>
      <c r="D11" s="32" t="n">
        <f aca="false">Assumptions!$B$16*10/3</f>
        <v>11666.6666666667</v>
      </c>
      <c r="E11" s="9" t="s">
        <v>201</v>
      </c>
    </row>
    <row r="12" customFormat="false" ht="15" hidden="false" customHeight="true" outlineLevel="0" collapsed="false">
      <c r="A12" s="4" t="s">
        <v>71</v>
      </c>
      <c r="B12" s="32" t="n">
        <f aca="false">Assumptions!$B$17</f>
        <v>3000</v>
      </c>
      <c r="C12" s="32" t="n">
        <f aca="false">Assumptions!$B$17</f>
        <v>3000</v>
      </c>
      <c r="D12" s="32" t="n">
        <f aca="false">Assumptions!$B$17</f>
        <v>3000</v>
      </c>
      <c r="E12" s="9" t="s">
        <v>202</v>
      </c>
    </row>
    <row r="13" customFormat="false" ht="15" hidden="false" customHeight="true" outlineLevel="0" collapsed="false">
      <c r="A13" s="4" t="s">
        <v>73</v>
      </c>
      <c r="B13" s="32" t="n">
        <f aca="false">Assumptions!$B$18</f>
        <v>2500</v>
      </c>
      <c r="C13" s="32" t="n">
        <f aca="false">Assumptions!$B$18</f>
        <v>2500</v>
      </c>
      <c r="D13" s="32" t="n">
        <f aca="false">Assumptions!$B$18</f>
        <v>2500</v>
      </c>
      <c r="E13" s="9" t="s">
        <v>203</v>
      </c>
    </row>
    <row r="14" customFormat="false" ht="15" hidden="false" customHeight="true" outlineLevel="0" collapsed="false">
      <c r="A14" s="33" t="s">
        <v>204</v>
      </c>
      <c r="B14" s="33" t="n">
        <f aca="false">SUM(B7:B13)</f>
        <v>78000</v>
      </c>
      <c r="C14" s="33" t="n">
        <f aca="false">SUM(C7:C13)</f>
        <v>108333.333333333</v>
      </c>
      <c r="D14" s="33" t="n">
        <f aca="false">SUM(D7:D13)</f>
        <v>184166.666666667</v>
      </c>
      <c r="E14" s="33"/>
    </row>
    <row r="16" customFormat="false" ht="15" hidden="false" customHeight="true" outlineLevel="0" collapsed="false">
      <c r="A16" s="11" t="s">
        <v>205</v>
      </c>
      <c r="B16" s="12"/>
      <c r="C16" s="12"/>
      <c r="D16" s="12"/>
      <c r="E16" s="12"/>
    </row>
    <row r="17" customFormat="false" ht="15" hidden="false" customHeight="true" outlineLevel="0" collapsed="false">
      <c r="A17" s="4" t="s">
        <v>206</v>
      </c>
      <c r="B17" s="32" t="n">
        <f aca="false">Assumptions!$B$20</f>
        <v>4000</v>
      </c>
      <c r="C17" s="32" t="n">
        <f aca="false">Assumptions!$B$20</f>
        <v>4000</v>
      </c>
      <c r="D17" s="32" t="n">
        <f aca="false">Assumptions!$B$20</f>
        <v>4000</v>
      </c>
      <c r="E17" s="9" t="s">
        <v>207</v>
      </c>
    </row>
    <row r="18" customFormat="false" ht="15" hidden="false" customHeight="true" outlineLevel="0" collapsed="false">
      <c r="A18" s="4" t="s">
        <v>208</v>
      </c>
      <c r="B18" s="32" t="n">
        <f aca="false">Assumptions!$B$21</f>
        <v>1200</v>
      </c>
      <c r="C18" s="32" t="n">
        <f aca="false">Assumptions!$B$21</f>
        <v>1200</v>
      </c>
      <c r="D18" s="32" t="n">
        <f aca="false">Assumptions!$B$21</f>
        <v>1200</v>
      </c>
      <c r="E18" s="9"/>
    </row>
    <row r="19" customFormat="false" ht="15" hidden="false" customHeight="true" outlineLevel="0" collapsed="false">
      <c r="A19" s="4" t="s">
        <v>209</v>
      </c>
      <c r="B19" s="32" t="n">
        <f aca="false">Assumptions!$B$22</f>
        <v>2200</v>
      </c>
      <c r="C19" s="32" t="n">
        <f aca="false">Assumptions!$B$22</f>
        <v>2200</v>
      </c>
      <c r="D19" s="32" t="n">
        <f aca="false">Assumptions!$B$22</f>
        <v>2200</v>
      </c>
      <c r="E19" s="9" t="s">
        <v>210</v>
      </c>
    </row>
    <row r="20" customFormat="false" ht="15" hidden="false" customHeight="true" outlineLevel="0" collapsed="false">
      <c r="A20" s="4" t="s">
        <v>211</v>
      </c>
      <c r="B20" s="32" t="n">
        <f aca="false">IF(Assumptions!$B$50=1,CEILING(Capacity!$B$22*3*Assumptions!$B$49/250,1)*Assumptions!$B$23,0)</f>
        <v>11000</v>
      </c>
      <c r="C20" s="32" t="n">
        <f aca="false">IF(Assumptions!$B$50=1,CEILING(Capacity!$B$22*5*Assumptions!$B$49/250,1)*Assumptions!$B$23,0)</f>
        <v>22000</v>
      </c>
      <c r="D20" s="32" t="n">
        <f aca="false">IF(Assumptions!$B$50=1,CEILING(Capacity!$B$22*10*Assumptions!$B$49/250,1)*Assumptions!$B$23,0)</f>
        <v>33000</v>
      </c>
      <c r="E20" s="9" t="s">
        <v>212</v>
      </c>
    </row>
    <row r="21" customFormat="false" ht="15" hidden="false" customHeight="true" outlineLevel="0" collapsed="false">
      <c r="A21" s="4" t="s">
        <v>213</v>
      </c>
      <c r="B21" s="32" t="n">
        <f aca="false">Assumptions!$B$24</f>
        <v>2500</v>
      </c>
      <c r="C21" s="32" t="n">
        <f aca="false">Assumptions!$B$24</f>
        <v>2500</v>
      </c>
      <c r="D21" s="32" t="n">
        <f aca="false">Assumptions!$B$24</f>
        <v>2500</v>
      </c>
      <c r="E21" s="9"/>
    </row>
    <row r="22" customFormat="false" ht="15" hidden="false" customHeight="true" outlineLevel="0" collapsed="false">
      <c r="A22" s="4" t="s">
        <v>214</v>
      </c>
      <c r="B22" s="32" t="n">
        <f aca="false">Assumptions!$B$25</f>
        <v>1500</v>
      </c>
      <c r="C22" s="32" t="n">
        <f aca="false">Assumptions!$B$25</f>
        <v>1500</v>
      </c>
      <c r="D22" s="32" t="n">
        <f aca="false">Assumptions!$B$25</f>
        <v>1500</v>
      </c>
      <c r="E22" s="9"/>
    </row>
    <row r="23" customFormat="false" ht="15" hidden="false" customHeight="true" outlineLevel="0" collapsed="false">
      <c r="A23" s="33" t="s">
        <v>215</v>
      </c>
      <c r="B23" s="33" t="n">
        <f aca="false">SUM(B17:B22)</f>
        <v>22400</v>
      </c>
      <c r="C23" s="33" t="n">
        <f aca="false">SUM(C17:C22)</f>
        <v>33400</v>
      </c>
      <c r="D23" s="33" t="n">
        <f aca="false">SUM(D17:D22)</f>
        <v>44400</v>
      </c>
      <c r="E23" s="33"/>
    </row>
    <row r="25" customFormat="false" ht="15" hidden="false" customHeight="true" outlineLevel="0" collapsed="false">
      <c r="A25" s="4" t="s">
        <v>88</v>
      </c>
      <c r="B25" s="34" t="n">
        <f aca="false">(B14+B23)*Assumptions!$B$26</f>
        <v>12048</v>
      </c>
      <c r="C25" s="34" t="n">
        <f aca="false">(C14+C23)*Assumptions!$B$26</f>
        <v>17008</v>
      </c>
      <c r="D25" s="34" t="n">
        <f aca="false">(D14+D23)*Assumptions!$B$26</f>
        <v>27428</v>
      </c>
      <c r="E25" s="9" t="s">
        <v>216</v>
      </c>
    </row>
    <row r="26" customFormat="false" ht="15" hidden="false" customHeight="true" outlineLevel="0" collapsed="false">
      <c r="A26" s="35" t="s">
        <v>217</v>
      </c>
      <c r="B26" s="36" t="n">
        <f aca="false">B14+B23+B25</f>
        <v>112448</v>
      </c>
      <c r="C26" s="36" t="n">
        <f aca="false">C14+C23+C25</f>
        <v>158741.333333333</v>
      </c>
      <c r="D26" s="36" t="n">
        <f aca="false">D14+D23+D25</f>
        <v>255994.666666667</v>
      </c>
      <c r="E26" s="36"/>
    </row>
    <row r="28" customFormat="false" ht="15" hidden="false" customHeight="true" outlineLevel="0" collapsed="false">
      <c r="A28" s="9" t="s">
        <v>218</v>
      </c>
    </row>
    <row r="29" customFormat="false" ht="15" hidden="false" customHeight="true" outlineLevel="0" collapsed="false">
      <c r="A29" s="37" t="s">
        <v>219</v>
      </c>
      <c r="B29" s="37" t="n">
        <f aca="false">B26+'Monthly Opex'!B$100*12</f>
        <v>165404</v>
      </c>
      <c r="C29" s="37" t="n">
        <f aca="false">C26+'Monthly Opex'!C$100*12</f>
        <v>212465.333333333</v>
      </c>
      <c r="D29" s="37" t="n">
        <f aca="false">D26+'Monthly Opex'!D$100*12</f>
        <v>332518.666666667</v>
      </c>
      <c r="E29" s="38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58"/>
  </cols>
  <sheetData>
    <row r="1" customFormat="false" ht="15.75" hidden="false" customHeight="true" outlineLevel="0" collapsed="false">
      <c r="A1" s="2" t="s">
        <v>221</v>
      </c>
    </row>
    <row r="3" customFormat="false" ht="15" hidden="false" customHeight="true" outlineLevel="0" collapsed="false">
      <c r="A3" s="10" t="s">
        <v>185</v>
      </c>
      <c r="B3" s="10" t="s">
        <v>186</v>
      </c>
      <c r="C3" s="10" t="s">
        <v>187</v>
      </c>
      <c r="D3" s="10" t="s">
        <v>188</v>
      </c>
      <c r="E3" s="10" t="s">
        <v>155</v>
      </c>
    </row>
    <row r="4" customFormat="false" ht="15" hidden="false" customHeight="true" outlineLevel="0" collapsed="false">
      <c r="A4" s="3" t="s">
        <v>189</v>
      </c>
      <c r="B4" s="25" t="n">
        <f aca="false">'Startup Costs'!B4</f>
        <v>3</v>
      </c>
      <c r="C4" s="25" t="n">
        <f aca="false">'Startup Costs'!C4</f>
        <v>5</v>
      </c>
      <c r="D4" s="25" t="n">
        <f aca="false">'Startup Costs'!D4</f>
        <v>10</v>
      </c>
    </row>
    <row r="6" customFormat="false" ht="15" hidden="false" customHeight="true" outlineLevel="0" collapsed="false">
      <c r="A6" s="11" t="s">
        <v>222</v>
      </c>
      <c r="B6" s="12"/>
      <c r="C6" s="12"/>
      <c r="D6" s="12"/>
      <c r="E6" s="12"/>
    </row>
    <row r="7" customFormat="false" ht="15" hidden="false" customHeight="true" outlineLevel="0" collapsed="false">
      <c r="A7" s="4" t="s">
        <v>223</v>
      </c>
      <c r="B7" s="32" t="n">
        <f aca="false">Assumptions!$B$28*CEILING(3/Assumptions!$B$29,1)</f>
        <v>900</v>
      </c>
      <c r="C7" s="32" t="n">
        <f aca="false">Assumptions!$B$28*CEILING(5/Assumptions!$B$29,1)</f>
        <v>900</v>
      </c>
      <c r="D7" s="32" t="n">
        <f aca="false">Assumptions!$B$28*CEILING(10/Assumptions!$B$29,1)</f>
        <v>1800</v>
      </c>
      <c r="E7" s="9" t="s">
        <v>224</v>
      </c>
    </row>
    <row r="8" customFormat="false" ht="15" hidden="false" customHeight="true" outlineLevel="0" collapsed="false">
      <c r="A8" s="4" t="s">
        <v>225</v>
      </c>
      <c r="B8" s="32" t="n">
        <f aca="false">Assumptions!$B$30*IF(3&gt;5,1.6,1)</f>
        <v>1400</v>
      </c>
      <c r="C8" s="32" t="n">
        <f aca="false">Assumptions!$B$30*IF(5&gt;5,1.6,1)</f>
        <v>1400</v>
      </c>
      <c r="D8" s="32" t="n">
        <f aca="false">Assumptions!$B$30*IF(10&gt;5,1.6,1)</f>
        <v>2240</v>
      </c>
      <c r="E8" s="9" t="s">
        <v>226</v>
      </c>
    </row>
    <row r="9" customFormat="false" ht="15" hidden="false" customHeight="true" outlineLevel="0" collapsed="false">
      <c r="A9" s="4" t="s">
        <v>227</v>
      </c>
      <c r="B9" s="32" t="n">
        <f aca="false">Assumptions!$B$31</f>
        <v>400</v>
      </c>
      <c r="C9" s="32" t="n">
        <f aca="false">Assumptions!$B$31</f>
        <v>400</v>
      </c>
      <c r="D9" s="32" t="n">
        <f aca="false">Assumptions!$B$31</f>
        <v>400</v>
      </c>
      <c r="E9" s="9" t="s">
        <v>228</v>
      </c>
    </row>
    <row r="10" customFormat="false" ht="15" hidden="false" customHeight="true" outlineLevel="0" collapsed="false">
      <c r="A10" s="4" t="s">
        <v>229</v>
      </c>
      <c r="B10" s="32" t="n">
        <f aca="false">IF(Assumptions!$B$50=0,Capacity!$B$22*3*Assumptions!$B$49*Assumptions!$B$32,0)</f>
        <v>0</v>
      </c>
      <c r="C10" s="32" t="n">
        <f aca="false">IF(Assumptions!$B$50=0,Capacity!$B$22*5*Assumptions!$B$49*Assumptions!$B$32,0)</f>
        <v>0</v>
      </c>
      <c r="D10" s="32" t="n">
        <f aca="false">IF(Assumptions!$B$50=0,Capacity!$B$22*10*Assumptions!$B$49*Assumptions!$B$32,0)</f>
        <v>0</v>
      </c>
      <c r="E10" s="9" t="s">
        <v>230</v>
      </c>
    </row>
    <row r="11" customFormat="false" ht="15" hidden="false" customHeight="true" outlineLevel="0" collapsed="false">
      <c r="A11" s="4" t="s">
        <v>105</v>
      </c>
      <c r="B11" s="32" t="n">
        <f aca="false">Assumptions!$B$33</f>
        <v>700</v>
      </c>
      <c r="C11" s="32" t="n">
        <f aca="false">Assumptions!$B$33</f>
        <v>700</v>
      </c>
      <c r="D11" s="32" t="n">
        <f aca="false">Assumptions!$B$33</f>
        <v>700</v>
      </c>
      <c r="E11" s="9" t="s">
        <v>231</v>
      </c>
    </row>
    <row r="12" customFormat="false" ht="15" hidden="false" customHeight="true" outlineLevel="0" collapsed="false">
      <c r="A12" s="11" t="s">
        <v>232</v>
      </c>
      <c r="B12" s="12"/>
      <c r="C12" s="12"/>
      <c r="D12" s="12"/>
      <c r="E12" s="12"/>
    </row>
    <row r="13" customFormat="false" ht="15" hidden="false" customHeight="true" outlineLevel="0" collapsed="false">
      <c r="A13" s="4" t="s">
        <v>233</v>
      </c>
      <c r="B13" s="32" t="n">
        <f aca="false">Assumptions!$B$34*3</f>
        <v>96</v>
      </c>
      <c r="C13" s="32" t="n">
        <f aca="false">Assumptions!$B$34*5</f>
        <v>160</v>
      </c>
      <c r="D13" s="32" t="n">
        <f aca="false">Assumptions!$B$34*10</f>
        <v>320</v>
      </c>
      <c r="E13" s="9" t="s">
        <v>234</v>
      </c>
    </row>
    <row r="14" customFormat="false" ht="15" hidden="false" customHeight="true" outlineLevel="0" collapsed="false">
      <c r="A14" s="4" t="s">
        <v>110</v>
      </c>
      <c r="B14" s="32" t="n">
        <f aca="false">Assumptions!$B$35</f>
        <v>32</v>
      </c>
      <c r="C14" s="32" t="n">
        <f aca="false">Assumptions!$B$35</f>
        <v>32</v>
      </c>
      <c r="D14" s="32" t="n">
        <f aca="false">Assumptions!$B$35</f>
        <v>32</v>
      </c>
      <c r="E14" s="9"/>
    </row>
    <row r="15" customFormat="false" ht="15" hidden="false" customHeight="true" outlineLevel="0" collapsed="false">
      <c r="A15" s="4" t="s">
        <v>235</v>
      </c>
      <c r="B15" s="32" t="n">
        <f aca="false">Assumptions!$B$36</f>
        <v>145</v>
      </c>
      <c r="C15" s="32" t="n">
        <f aca="false">Assumptions!$B$36</f>
        <v>145</v>
      </c>
      <c r="D15" s="32" t="n">
        <f aca="false">Assumptions!$B$36</f>
        <v>145</v>
      </c>
      <c r="E15" s="9" t="s">
        <v>236</v>
      </c>
    </row>
    <row r="16" customFormat="false" ht="15" hidden="false" customHeight="true" outlineLevel="0" collapsed="false">
      <c r="A16" s="4" t="s">
        <v>237</v>
      </c>
      <c r="B16" s="32" t="n">
        <f aca="false">Assumptions!$B$37</f>
        <v>60</v>
      </c>
      <c r="C16" s="32" t="n">
        <f aca="false">Assumptions!$B$37</f>
        <v>60</v>
      </c>
      <c r="D16" s="32" t="n">
        <f aca="false">Assumptions!$B$37</f>
        <v>60</v>
      </c>
      <c r="E16" s="9" t="s">
        <v>238</v>
      </c>
    </row>
    <row r="17" customFormat="false" ht="15" hidden="false" customHeight="true" outlineLevel="0" collapsed="false">
      <c r="A17" s="4" t="s">
        <v>115</v>
      </c>
      <c r="B17" s="32" t="n">
        <f aca="false">Assumptions!$B$38</f>
        <v>80</v>
      </c>
      <c r="C17" s="32" t="n">
        <f aca="false">Assumptions!$B$38</f>
        <v>80</v>
      </c>
      <c r="D17" s="32" t="n">
        <f aca="false">Assumptions!$B$38</f>
        <v>80</v>
      </c>
      <c r="E17" s="9"/>
    </row>
    <row r="18" customFormat="false" ht="15" hidden="false" customHeight="true" outlineLevel="0" collapsed="false">
      <c r="A18" s="11" t="s">
        <v>239</v>
      </c>
      <c r="B18" s="12"/>
      <c r="C18" s="12"/>
      <c r="D18" s="12"/>
      <c r="E18" s="12"/>
    </row>
    <row r="19" customFormat="false" ht="15" hidden="false" customHeight="true" outlineLevel="0" collapsed="false">
      <c r="A19" s="4" t="s">
        <v>117</v>
      </c>
      <c r="B19" s="32" t="n">
        <f aca="false">Assumptions!$B$39</f>
        <v>350</v>
      </c>
      <c r="C19" s="32" t="n">
        <f aca="false">Assumptions!$B$39</f>
        <v>350</v>
      </c>
      <c r="D19" s="32" t="n">
        <f aca="false">Assumptions!$B$39</f>
        <v>350</v>
      </c>
    </row>
    <row r="20" customFormat="false" ht="15" hidden="false" customHeight="true" outlineLevel="0" collapsed="false">
      <c r="A20" s="4" t="s">
        <v>118</v>
      </c>
      <c r="B20" s="32" t="n">
        <f aca="false">Assumptions!$B$40</f>
        <v>250</v>
      </c>
      <c r="C20" s="32" t="n">
        <f aca="false">Assumptions!$B$40</f>
        <v>250</v>
      </c>
      <c r="D20" s="32" t="n">
        <f aca="false">Assumptions!$B$40</f>
        <v>250</v>
      </c>
    </row>
    <row r="21" customFormat="false" ht="15" hidden="false" customHeight="true" outlineLevel="0" collapsed="false">
      <c r="A21" s="4" t="s">
        <v>120</v>
      </c>
      <c r="B21" s="32" t="n">
        <f aca="false">Assumptions!$B$41</f>
        <v>0</v>
      </c>
      <c r="C21" s="32" t="n">
        <f aca="false">Assumptions!$B$41</f>
        <v>0</v>
      </c>
      <c r="D21" s="32" t="n">
        <f aca="false">Assumptions!$B$41</f>
        <v>0</v>
      </c>
    </row>
    <row r="22" customFormat="false" ht="15" hidden="false" customHeight="true" outlineLevel="0" collapsed="false">
      <c r="A22" s="11" t="s">
        <v>240</v>
      </c>
      <c r="B22" s="12"/>
      <c r="C22" s="12"/>
      <c r="D22" s="12"/>
      <c r="E22" s="12"/>
    </row>
    <row r="23" customFormat="false" ht="15" hidden="false" customHeight="true" outlineLevel="0" collapsed="false">
      <c r="A23" s="4" t="s">
        <v>241</v>
      </c>
      <c r="B23" s="34" t="n">
        <f aca="false">'Startup Costs'!B14/Assumptions!$B$43</f>
        <v>1625</v>
      </c>
      <c r="C23" s="34" t="n">
        <f aca="false">'Startup Costs'!C14/Assumptions!$B$43</f>
        <v>2256.94444444444</v>
      </c>
      <c r="D23" s="34" t="n">
        <f aca="false">'Startup Costs'!D14/Assumptions!$B$43</f>
        <v>3836.80555555556</v>
      </c>
      <c r="E23" s="9" t="s">
        <v>242</v>
      </c>
    </row>
    <row r="25" customFormat="false" ht="15" hidden="false" customHeight="true" outlineLevel="0" collapsed="false">
      <c r="A25" s="35" t="s">
        <v>243</v>
      </c>
      <c r="B25" s="36" t="n">
        <f aca="false">SUM(B7:B11)+SUM(B13:B17)+SUM(B19:B21)</f>
        <v>4413</v>
      </c>
      <c r="C25" s="36" t="n">
        <f aca="false">SUM(C7:C11)+SUM(C13:C17)+SUM(C19:C21)</f>
        <v>4477</v>
      </c>
      <c r="D25" s="36" t="n">
        <f aca="false">SUM(D7:D11)+SUM(D13:D17)+SUM(D19:D21)</f>
        <v>6377</v>
      </c>
      <c r="E25" s="36"/>
    </row>
    <row r="26" customFormat="false" ht="15" hidden="false" customHeight="true" outlineLevel="0" collapsed="false">
      <c r="A26" s="33" t="s">
        <v>244</v>
      </c>
      <c r="B26" s="33" t="n">
        <f aca="false">B25+B23</f>
        <v>6038</v>
      </c>
      <c r="C26" s="33" t="n">
        <f aca="false">C25+C23</f>
        <v>6733.94444444444</v>
      </c>
      <c r="D26" s="33" t="n">
        <f aca="false">D25+D23</f>
        <v>10213.8055555556</v>
      </c>
      <c r="E26" s="33"/>
    </row>
    <row r="100" customFormat="false" ht="15" hidden="false" customHeight="true" outlineLevel="0" collapsed="false">
      <c r="A100" s="9" t="s">
        <v>245</v>
      </c>
      <c r="B100" s="34" t="n">
        <f aca="false">B25</f>
        <v>4413</v>
      </c>
      <c r="C100" s="34" t="n">
        <f aca="false">C25</f>
        <v>4477</v>
      </c>
      <c r="D100" s="34" t="n">
        <f aca="false">D25</f>
        <v>6377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58"/>
  </cols>
  <sheetData>
    <row r="1" customFormat="false" ht="15.75" hidden="false" customHeight="true" outlineLevel="0" collapsed="false">
      <c r="A1" s="2" t="s">
        <v>246</v>
      </c>
    </row>
    <row r="3" customFormat="false" ht="15" hidden="false" customHeight="true" outlineLevel="0" collapsed="false">
      <c r="A3" s="3" t="s">
        <v>247</v>
      </c>
    </row>
    <row r="4" customFormat="false" ht="15" hidden="false" customHeight="true" outlineLevel="0" collapsed="false">
      <c r="A4" s="9" t="s">
        <v>248</v>
      </c>
    </row>
    <row r="5" customFormat="false" ht="15" hidden="false" customHeight="true" outlineLevel="0" collapsed="false">
      <c r="A5" s="9" t="s">
        <v>249</v>
      </c>
    </row>
    <row r="6" customFormat="false" ht="15" hidden="false" customHeight="true" outlineLevel="0" collapsed="false">
      <c r="A6" s="9" t="s">
        <v>250</v>
      </c>
    </row>
    <row r="7" customFormat="false" ht="15" hidden="false" customHeight="true" outlineLevel="0" collapsed="false">
      <c r="A7" s="9" t="s">
        <v>251</v>
      </c>
    </row>
    <row r="9" customFormat="false" ht="15" hidden="false" customHeight="true" outlineLevel="0" collapsed="false">
      <c r="A9" s="10" t="s">
        <v>252</v>
      </c>
      <c r="B9" s="10" t="s">
        <v>186</v>
      </c>
      <c r="C9" s="10" t="s">
        <v>187</v>
      </c>
      <c r="D9" s="10" t="s">
        <v>188</v>
      </c>
      <c r="E9" s="10" t="s">
        <v>155</v>
      </c>
    </row>
    <row r="10" customFormat="false" ht="15" hidden="false" customHeight="true" outlineLevel="0" collapsed="false">
      <c r="A10" s="4" t="s">
        <v>189</v>
      </c>
      <c r="B10" s="25" t="n">
        <f aca="false">'Startup Costs'!B4</f>
        <v>3</v>
      </c>
      <c r="C10" s="25" t="n">
        <f aca="false">'Startup Costs'!C4</f>
        <v>5</v>
      </c>
      <c r="D10" s="25" t="n">
        <f aca="false">'Startup Costs'!D4</f>
        <v>10</v>
      </c>
      <c r="E10" s="9"/>
    </row>
    <row r="11" customFormat="false" ht="15" hidden="false" customHeight="true" outlineLevel="0" collapsed="false">
      <c r="A11" s="4" t="s">
        <v>253</v>
      </c>
      <c r="B11" s="17" t="n">
        <v>0.6</v>
      </c>
      <c r="C11" s="17" t="n">
        <v>0.7</v>
      </c>
      <c r="D11" s="17" t="n">
        <v>0.75</v>
      </c>
      <c r="E11" s="9" t="s">
        <v>254</v>
      </c>
    </row>
    <row r="12" customFormat="false" ht="15" hidden="false" customHeight="true" outlineLevel="0" collapsed="false">
      <c r="A12" s="4" t="s">
        <v>255</v>
      </c>
      <c r="B12" s="39" t="n">
        <f aca="false">(Assumptions!$B$7-Assumptions!$B$11)/Capacity!$D$11</f>
        <v>59.4871794871795</v>
      </c>
      <c r="C12" s="39" t="n">
        <f aca="false">(Assumptions!$B$7-Assumptions!$B$11)/Capacity!$D$11</f>
        <v>59.4871794871795</v>
      </c>
      <c r="D12" s="39" t="n">
        <f aca="false">(Assumptions!$B$7-Assumptions!$B$11)/Capacity!$D$11</f>
        <v>59.4871794871795</v>
      </c>
      <c r="E12" s="9" t="s">
        <v>256</v>
      </c>
    </row>
    <row r="13" customFormat="false" ht="15" hidden="false" customHeight="true" outlineLevel="0" collapsed="false">
      <c r="A13" s="4" t="s">
        <v>257</v>
      </c>
      <c r="B13" s="39" t="n">
        <f aca="false">Assumptions!$B$8*Capacity!$B$18/Capacity!$C$11</f>
        <v>114.871794871795</v>
      </c>
      <c r="C13" s="39" t="n">
        <f aca="false">Assumptions!$B$8*Capacity!$B$18/Capacity!$C$11</f>
        <v>114.871794871795</v>
      </c>
      <c r="D13" s="39" t="n">
        <f aca="false">Assumptions!$B$8*Capacity!$B$18/Capacity!$C$11</f>
        <v>114.871794871795</v>
      </c>
      <c r="E13" s="9" t="s">
        <v>256</v>
      </c>
    </row>
    <row r="14" customFormat="false" ht="15" hidden="false" customHeight="true" outlineLevel="0" collapsed="false">
      <c r="A14" s="4" t="s">
        <v>258</v>
      </c>
      <c r="B14" s="39" t="n">
        <f aca="false">Assumptions!$B$9*Assumptions!$B$10*1000/3*B11/Capacity!$E$11</f>
        <v>59.0769230769231</v>
      </c>
      <c r="C14" s="39" t="n">
        <f aca="false">Assumptions!$B$9*Assumptions!$B$10*1000/3*C11/Capacity!$E$11</f>
        <v>68.9230769230769</v>
      </c>
      <c r="D14" s="39" t="n">
        <f aca="false">Assumptions!$B$9*Assumptions!$B$10*1000/3*D11/Capacity!$E$11</f>
        <v>73.8461538461538</v>
      </c>
      <c r="E14" s="9" t="s">
        <v>259</v>
      </c>
    </row>
    <row r="15" customFormat="false" ht="15" hidden="false" customHeight="true" outlineLevel="0" collapsed="false">
      <c r="A15" s="4" t="s">
        <v>260</v>
      </c>
      <c r="B15" s="27" t="n">
        <f aca="false">MIN(B12,B13,B14)</f>
        <v>59.0769230769231</v>
      </c>
      <c r="C15" s="27" t="n">
        <f aca="false">MIN(C12,C13,C14)</f>
        <v>59.4871794871795</v>
      </c>
      <c r="D15" s="27" t="n">
        <f aca="false">MIN(D12,D13,D14)</f>
        <v>59.4871794871795</v>
      </c>
      <c r="E15" s="9" t="s">
        <v>261</v>
      </c>
    </row>
    <row r="16" customFormat="false" ht="15" hidden="false" customHeight="true" outlineLevel="0" collapsed="false">
      <c r="A16" s="4" t="s">
        <v>262</v>
      </c>
      <c r="B16" s="40" t="n">
        <f aca="false">B10*B15</f>
        <v>177.230769230769</v>
      </c>
      <c r="C16" s="40" t="n">
        <f aca="false">C10*C15</f>
        <v>297.435897435897</v>
      </c>
      <c r="D16" s="40" t="n">
        <f aca="false">D10*D15</f>
        <v>594.871794871795</v>
      </c>
      <c r="E16" s="9" t="s">
        <v>263</v>
      </c>
    </row>
    <row r="17" customFormat="false" ht="15" hidden="false" customHeight="true" outlineLevel="0" collapsed="false">
      <c r="A17" s="4" t="s">
        <v>264</v>
      </c>
      <c r="B17" s="40" t="n">
        <f aca="false">-B15</f>
        <v>-59.0769230769231</v>
      </c>
      <c r="C17" s="40" t="n">
        <f aca="false">-C15</f>
        <v>-59.4871794871795</v>
      </c>
      <c r="D17" s="40" t="n">
        <f aca="false">-D15</f>
        <v>-59.4871794871795</v>
      </c>
      <c r="E17" s="9" t="s">
        <v>265</v>
      </c>
    </row>
    <row r="18" customFormat="false" ht="15" hidden="false" customHeight="true" outlineLevel="0" collapsed="false">
      <c r="A18" s="4" t="s">
        <v>266</v>
      </c>
      <c r="B18" s="40" t="n">
        <f aca="false">B16+B17</f>
        <v>118.153846153846</v>
      </c>
      <c r="C18" s="40" t="n">
        <f aca="false">C16+C17</f>
        <v>237.948717948718</v>
      </c>
      <c r="D18" s="40" t="n">
        <f aca="false">D16+D17</f>
        <v>535.384615384616</v>
      </c>
      <c r="E18" s="9" t="s">
        <v>267</v>
      </c>
    </row>
    <row r="19" customFormat="false" ht="15" hidden="false" customHeight="true" outlineLevel="0" collapsed="false">
      <c r="A19" s="4" t="s">
        <v>268</v>
      </c>
      <c r="B19" s="40" t="n">
        <f aca="false">B18*Assumptions!$B$47</f>
        <v>88.6153846153846</v>
      </c>
      <c r="C19" s="40" t="n">
        <f aca="false">C18*Assumptions!$B$47</f>
        <v>178.461538461538</v>
      </c>
      <c r="D19" s="40" t="n">
        <f aca="false">D18*Assumptions!$B$47</f>
        <v>401.538461538462</v>
      </c>
      <c r="E19" s="9" t="s">
        <v>269</v>
      </c>
    </row>
    <row r="20" customFormat="false" ht="15" hidden="false" customHeight="true" outlineLevel="0" collapsed="false">
      <c r="A20" s="4" t="s">
        <v>270</v>
      </c>
      <c r="B20" s="32" t="n">
        <f aca="false">Capacity!$B$24</f>
        <v>28.55</v>
      </c>
      <c r="C20" s="32" t="n">
        <f aca="false">Capacity!$B$24</f>
        <v>28.55</v>
      </c>
      <c r="D20" s="32" t="n">
        <f aca="false">Capacity!$B$24</f>
        <v>28.55</v>
      </c>
      <c r="E20" s="9" t="s">
        <v>271</v>
      </c>
    </row>
    <row r="21" customFormat="false" ht="15" hidden="false" customHeight="true" outlineLevel="0" collapsed="false">
      <c r="A21" s="4" t="s">
        <v>272</v>
      </c>
      <c r="B21" s="34" t="n">
        <f aca="false">B19*B20</f>
        <v>2529.96923076923</v>
      </c>
      <c r="C21" s="34" t="n">
        <f aca="false">C19*C20</f>
        <v>5095.07692307692</v>
      </c>
      <c r="D21" s="34" t="n">
        <f aca="false">D19*D20</f>
        <v>11463.9230769231</v>
      </c>
      <c r="E21" s="9"/>
    </row>
    <row r="22" customFormat="false" ht="15" hidden="false" customHeight="true" outlineLevel="0" collapsed="false">
      <c r="A22" s="4" t="s">
        <v>273</v>
      </c>
      <c r="B22" s="34" t="n">
        <f aca="false">-B21*Assumptions!$B$44</f>
        <v>-73.3691076923077</v>
      </c>
      <c r="C22" s="34" t="n">
        <f aca="false">-C21*Assumptions!$B$44</f>
        <v>-147.757230769231</v>
      </c>
      <c r="D22" s="34" t="n">
        <f aca="false">-D21*Assumptions!$B$44</f>
        <v>-332.453769230769</v>
      </c>
      <c r="E22" s="9"/>
    </row>
    <row r="23" customFormat="false" ht="15" hidden="false" customHeight="true" outlineLevel="0" collapsed="false">
      <c r="A23" s="4" t="s">
        <v>274</v>
      </c>
      <c r="B23" s="34" t="n">
        <f aca="false">-B21*Assumptions!$B$45</f>
        <v>-37.9495384615385</v>
      </c>
      <c r="C23" s="34" t="n">
        <f aca="false">-C21*Assumptions!$B$45</f>
        <v>-76.4261538461538</v>
      </c>
      <c r="D23" s="34" t="n">
        <f aca="false">-D21*Assumptions!$B$45</f>
        <v>-171.958846153846</v>
      </c>
      <c r="E23" s="9"/>
    </row>
    <row r="24" customFormat="false" ht="15" hidden="false" customHeight="true" outlineLevel="0" collapsed="false">
      <c r="A24" s="4" t="s">
        <v>275</v>
      </c>
      <c r="B24" s="34" t="n">
        <f aca="false">-B21*Assumptions!$B$46</f>
        <v>-12.6498461538462</v>
      </c>
      <c r="C24" s="34" t="n">
        <f aca="false">-C21*Assumptions!$B$46</f>
        <v>-25.4753846153846</v>
      </c>
      <c r="D24" s="34" t="n">
        <f aca="false">-D21*Assumptions!$B$46</f>
        <v>-57.3196153846154</v>
      </c>
      <c r="E24" s="9"/>
    </row>
    <row r="25" customFormat="false" ht="15" hidden="false" customHeight="true" outlineLevel="0" collapsed="false">
      <c r="A25" s="35" t="s">
        <v>276</v>
      </c>
      <c r="B25" s="36" t="n">
        <f aca="false">SUM(B21:B24)</f>
        <v>2406.00073846154</v>
      </c>
      <c r="C25" s="36" t="n">
        <f aca="false">SUM(C21:C24)</f>
        <v>4845.41815384615</v>
      </c>
      <c r="D25" s="36" t="n">
        <f aca="false">SUM(D21:D24)</f>
        <v>10902.1908461539</v>
      </c>
      <c r="E25" s="4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6"/>
    <col collapsed="false" customWidth="true" hidden="false" outlineLevel="0" max="5" min="5" style="1" width="58"/>
  </cols>
  <sheetData>
    <row r="1" customFormat="false" ht="15.75" hidden="false" customHeight="true" outlineLevel="0" collapsed="false">
      <c r="A1" s="2" t="s">
        <v>277</v>
      </c>
    </row>
    <row r="3" customFormat="false" ht="15" hidden="false" customHeight="true" outlineLevel="0" collapsed="false">
      <c r="A3" s="10" t="s">
        <v>252</v>
      </c>
      <c r="B3" s="10" t="s">
        <v>186</v>
      </c>
      <c r="C3" s="10" t="s">
        <v>187</v>
      </c>
      <c r="D3" s="10" t="s">
        <v>188</v>
      </c>
      <c r="E3" s="10" t="s">
        <v>155</v>
      </c>
    </row>
    <row r="4" customFormat="false" ht="15" hidden="false" customHeight="true" outlineLevel="0" collapsed="false">
      <c r="A4" s="4" t="s">
        <v>278</v>
      </c>
      <c r="B4" s="32" t="n">
        <f aca="false">'Monthly Opex'!B25</f>
        <v>4413</v>
      </c>
      <c r="C4" s="32" t="n">
        <f aca="false">'Monthly Opex'!C25</f>
        <v>4477</v>
      </c>
      <c r="D4" s="32" t="n">
        <f aca="false">'Monthly Opex'!D25</f>
        <v>6377</v>
      </c>
      <c r="E4" s="9" t="s">
        <v>279</v>
      </c>
    </row>
    <row r="5" customFormat="false" ht="15" hidden="false" customHeight="true" outlineLevel="0" collapsed="false">
      <c r="A5" s="4" t="s">
        <v>280</v>
      </c>
      <c r="B5" s="32" t="n">
        <f aca="false">'Monthly Opex'!B26</f>
        <v>6038</v>
      </c>
      <c r="C5" s="32" t="n">
        <f aca="false">'Monthly Opex'!C26</f>
        <v>6733.94444444444</v>
      </c>
      <c r="D5" s="32" t="n">
        <f aca="false">'Monthly Opex'!D26</f>
        <v>10213.8055555556</v>
      </c>
      <c r="E5" s="9" t="s">
        <v>281</v>
      </c>
    </row>
    <row r="6" customFormat="false" ht="15" hidden="false" customHeight="true" outlineLevel="0" collapsed="false">
      <c r="A6" s="4" t="s">
        <v>270</v>
      </c>
      <c r="B6" s="32" t="n">
        <f aca="false">Capacity!$B$24</f>
        <v>28.55</v>
      </c>
      <c r="C6" s="32" t="n">
        <f aca="false">Capacity!$B$24</f>
        <v>28.55</v>
      </c>
      <c r="D6" s="32" t="n">
        <f aca="false">Capacity!$B$24</f>
        <v>28.55</v>
      </c>
      <c r="E6" s="9"/>
    </row>
    <row r="7" customFormat="false" ht="15" hidden="false" customHeight="true" outlineLevel="0" collapsed="false">
      <c r="A7" s="4" t="s">
        <v>282</v>
      </c>
      <c r="B7" s="42" t="n">
        <f aca="false">B6*(1-Assumptions!$B$44-Assumptions!$B$45-Assumptions!$B$46)</f>
        <v>27.15105</v>
      </c>
      <c r="C7" s="42" t="n">
        <f aca="false">C6*(1-Assumptions!$B$44-Assumptions!$B$45-Assumptions!$B$46)</f>
        <v>27.15105</v>
      </c>
      <c r="D7" s="42" t="n">
        <f aca="false">D6*(1-Assumptions!$B$44-Assumptions!$B$45-Assumptions!$B$46)</f>
        <v>27.15105</v>
      </c>
      <c r="E7" s="9" t="s">
        <v>283</v>
      </c>
    </row>
    <row r="8" customFormat="false" ht="15" hidden="false" customHeight="true" outlineLevel="0" collapsed="false">
      <c r="A8" s="21" t="s">
        <v>284</v>
      </c>
      <c r="B8" s="43" t="n">
        <f aca="false">IF(B7=0,0,B4/B7)</f>
        <v>162.535150574287</v>
      </c>
      <c r="C8" s="43" t="n">
        <f aca="false">IF(C7=0,0,C4/C7)</f>
        <v>164.892333813978</v>
      </c>
      <c r="D8" s="43" t="n">
        <f aca="false">IF(D7=0,0,D4/D7)</f>
        <v>234.871211242291</v>
      </c>
      <c r="E8" s="30" t="s">
        <v>285</v>
      </c>
    </row>
    <row r="9" customFormat="false" ht="15" hidden="false" customHeight="true" outlineLevel="0" collapsed="false">
      <c r="A9" s="21" t="s">
        <v>286</v>
      </c>
      <c r="B9" s="43" t="n">
        <f aca="false">IF(B7=0,0,B5/B7)</f>
        <v>222.385506269555</v>
      </c>
      <c r="C9" s="43" t="n">
        <f aca="false">IF(C7=0,0,C5/C7)</f>
        <v>248.017827835183</v>
      </c>
      <c r="D9" s="43" t="n">
        <f aca="false">IF(D7=0,0,D5/D7)</f>
        <v>376.18455107834</v>
      </c>
      <c r="E9" s="30" t="s">
        <v>287</v>
      </c>
    </row>
    <row r="10" customFormat="false" ht="15" hidden="false" customHeight="true" outlineLevel="0" collapsed="false">
      <c r="A10" s="4" t="s">
        <v>266</v>
      </c>
      <c r="B10" s="25" t="n">
        <f aca="false">'Revenue &amp; Pricing'!B18</f>
        <v>118.153846153846</v>
      </c>
      <c r="C10" s="25" t="n">
        <f aca="false">'Revenue &amp; Pricing'!C18</f>
        <v>237.948717948718</v>
      </c>
      <c r="D10" s="25" t="n">
        <f aca="false">'Revenue &amp; Pricing'!D18</f>
        <v>535.384615384616</v>
      </c>
      <c r="E10" s="9"/>
    </row>
    <row r="11" customFormat="false" ht="15" hidden="false" customHeight="true" outlineLevel="0" collapsed="false">
      <c r="A11" s="21" t="s">
        <v>288</v>
      </c>
      <c r="B11" s="22" t="n">
        <f aca="false">IF(B10=0,0,B9/B10)</f>
        <v>1.88216899837514</v>
      </c>
      <c r="C11" s="22" t="n">
        <f aca="false">IF(C10=0,0,C9/C10)</f>
        <v>1.04231630232458</v>
      </c>
      <c r="D11" s="22" t="n">
        <f aca="false">IF(D10=0,0,D9/D10)</f>
        <v>0.702643558048623</v>
      </c>
      <c r="E11" s="30" t="s">
        <v>289</v>
      </c>
    </row>
    <row r="12" customFormat="false" ht="15" hidden="false" customHeight="true" outlineLevel="0" collapsed="false">
      <c r="A12" s="4" t="s">
        <v>290</v>
      </c>
      <c r="B12" s="32" t="n">
        <f aca="false">'Revenue &amp; Pricing'!B25</f>
        <v>2406.00073846154</v>
      </c>
      <c r="C12" s="32" t="n">
        <f aca="false">'Revenue &amp; Pricing'!C25</f>
        <v>4845.41815384615</v>
      </c>
      <c r="D12" s="32" t="n">
        <f aca="false">'Revenue &amp; Pricing'!D25</f>
        <v>10902.1908461539</v>
      </c>
      <c r="E12" s="9"/>
    </row>
    <row r="13" customFormat="false" ht="15" hidden="false" customHeight="true" outlineLevel="0" collapsed="false">
      <c r="A13" s="21" t="s">
        <v>291</v>
      </c>
      <c r="B13" s="24" t="n">
        <f aca="false">B12-B5</f>
        <v>-3631.99926153846</v>
      </c>
      <c r="C13" s="24" t="n">
        <f aca="false">C12-C5</f>
        <v>-1888.52629059829</v>
      </c>
      <c r="D13" s="24" t="n">
        <f aca="false">D12-D5</f>
        <v>688.385290598295</v>
      </c>
      <c r="E13" s="30"/>
    </row>
    <row r="14" customFormat="false" ht="15" hidden="false" customHeight="true" outlineLevel="0" collapsed="false">
      <c r="A14" s="21" t="s">
        <v>292</v>
      </c>
      <c r="B14" s="22" t="n">
        <f aca="false">IF(B12=0,0,B13/B12)</f>
        <v>-1.50955866450019</v>
      </c>
      <c r="C14" s="22" t="n">
        <f aca="false">IF(C12=0,0,C13/C12)</f>
        <v>-0.389755069766112</v>
      </c>
      <c r="D14" s="22" t="n">
        <f aca="false">IF(D12=0,0,D13/D12)</f>
        <v>0.0631419226018363</v>
      </c>
      <c r="E14" s="30"/>
    </row>
    <row r="15" customFormat="false" ht="15" hidden="false" customHeight="true" outlineLevel="0" collapsed="false">
      <c r="A15" s="4" t="s">
        <v>293</v>
      </c>
      <c r="B15" s="32" t="n">
        <f aca="false">'Startup Costs'!B26</f>
        <v>112448</v>
      </c>
      <c r="C15" s="32" t="n">
        <f aca="false">'Startup Costs'!C26</f>
        <v>158741.333333333</v>
      </c>
      <c r="D15" s="32" t="n">
        <f aca="false">'Startup Costs'!D26</f>
        <v>255994.666666667</v>
      </c>
      <c r="E15" s="9"/>
    </row>
    <row r="16" customFormat="false" ht="15" hidden="false" customHeight="true" outlineLevel="0" collapsed="false">
      <c r="A16" s="4" t="s">
        <v>294</v>
      </c>
      <c r="B16" s="27" t="str">
        <f aca="false">IF(B13&lt;=0,"never",B15/B13)</f>
        <v>never</v>
      </c>
      <c r="C16" s="27" t="str">
        <f aca="false">IF(C13&lt;=0,"never",C15/C13)</f>
        <v>never</v>
      </c>
      <c r="D16" s="27" t="n">
        <f aca="false">IF(D13&lt;=0,"never",D15/D13)</f>
        <v>371.877014461152</v>
      </c>
      <c r="E16" s="9" t="s">
        <v>295</v>
      </c>
    </row>
    <row r="18" customFormat="false" ht="15" hidden="false" customHeight="true" outlineLevel="0" collapsed="false">
      <c r="A18" s="11" t="s">
        <v>296</v>
      </c>
      <c r="B18" s="12"/>
      <c r="C18" s="12"/>
      <c r="D18" s="12"/>
      <c r="E18" s="12"/>
    </row>
    <row r="19" customFormat="false" ht="15" hidden="false" customHeight="true" outlineLevel="0" collapsed="false">
      <c r="A19" s="44" t="s">
        <v>297</v>
      </c>
      <c r="B19" s="45" t="n">
        <f aca="false">IF(B10*Assumptions!$B$47=0,0,B5/(B10*Assumptions!$B$47)/(1-Assumptions!$B$44-Assumptions!$B$45-Assumptions!$B$46))</f>
        <v>71.6478998714803</v>
      </c>
      <c r="C19" s="45" t="n">
        <f aca="false">IF(C10*Assumptions!$B$47=0,0,C5/(C10*Assumptions!$B$47)/(1-Assumptions!$B$44-Assumptions!$B$45-Assumptions!$B$46))</f>
        <v>39.6775072418225</v>
      </c>
      <c r="D19" s="45" t="n">
        <f aca="false">IF(D10*Assumptions!$B$47=0,0,D5/(D10*Assumptions!$B$47)/(1-Assumptions!$B$44-Assumptions!$B$45-Assumptions!$B$46))</f>
        <v>26.7472981097176</v>
      </c>
      <c r="E19" s="46" t="s">
        <v>298</v>
      </c>
    </row>
    <row r="20" customFormat="false" ht="15" hidden="false" customHeight="true" outlineLevel="0" collapsed="false">
      <c r="A20" s="44" t="s">
        <v>299</v>
      </c>
      <c r="B20" s="45" t="n">
        <f aca="false">IF(B10=0,0,B5/B10/(1-Assumptions!$B$44-Assumptions!$B$45-Assumptions!$B$46))</f>
        <v>53.7359249036102</v>
      </c>
      <c r="C20" s="45" t="n">
        <f aca="false">IF(C10=0,0,C5/C10/(1-Assumptions!$B$44-Assumptions!$B$45-Assumptions!$B$46))</f>
        <v>29.7581304313669</v>
      </c>
      <c r="D20" s="45" t="n">
        <f aca="false">IF(D10=0,0,D5/D10/(1-Assumptions!$B$44-Assumptions!$B$45-Assumptions!$B$46))</f>
        <v>20.0604735822882</v>
      </c>
      <c r="E20" s="46" t="s">
        <v>300</v>
      </c>
    </row>
    <row r="21" customFormat="false" ht="15" hidden="false" customHeight="true" outlineLevel="0" collapsed="false">
      <c r="A21" s="44" t="s">
        <v>301</v>
      </c>
      <c r="B21" s="47" t="n">
        <f aca="false">Capacity!$B$24</f>
        <v>28.55</v>
      </c>
      <c r="C21" s="47" t="n">
        <f aca="false">Capacity!$B$24</f>
        <v>28.55</v>
      </c>
      <c r="D21" s="47" t="n">
        <f aca="false">Capacity!$B$24</f>
        <v>28.55</v>
      </c>
      <c r="E21" s="46" t="s">
        <v>302</v>
      </c>
    </row>
    <row r="22" customFormat="false" ht="15" hidden="false" customHeight="true" outlineLevel="0" collapsed="false">
      <c r="A22" s="44" t="s">
        <v>303</v>
      </c>
      <c r="B22" s="48" t="n">
        <f aca="false">IF(B21=0,0,B19/B21-1)</f>
        <v>1.50955866450019</v>
      </c>
      <c r="C22" s="48" t="n">
        <f aca="false">IF(C21=0,0,C19/C21-1)</f>
        <v>0.389755069766112</v>
      </c>
      <c r="D22" s="48" t="n">
        <f aca="false">IF(D21=0,0,D19/D21-1)</f>
        <v>-0.0631419226018362</v>
      </c>
      <c r="E22" s="46" t="s">
        <v>304</v>
      </c>
    </row>
    <row r="24" customFormat="false" ht="15" hidden="false" customHeight="true" outlineLevel="0" collapsed="false">
      <c r="A24" s="3" t="s">
        <v>305</v>
      </c>
    </row>
    <row r="25" customFormat="false" ht="15" hidden="false" customHeight="true" outlineLevel="0" collapsed="false">
      <c r="A25" s="9" t="s">
        <v>306</v>
      </c>
    </row>
    <row r="26" customFormat="false" ht="15" hidden="false" customHeight="true" outlineLevel="0" collapsed="false">
      <c r="A26" s="9" t="s">
        <v>307</v>
      </c>
    </row>
    <row r="27" customFormat="false" ht="15" hidden="false" customHeight="true" outlineLevel="0" collapsed="false">
      <c r="A27" s="9" t="s">
        <v>308</v>
      </c>
    </row>
    <row r="28" customFormat="false" ht="15" hidden="false" customHeight="true" outlineLevel="0" collapsed="false">
      <c r="A28" s="9" t="s">
        <v>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8"/>
    <col collapsed="false" customWidth="true" hidden="false" outlineLevel="0" max="5" min="5" style="1" width="50"/>
  </cols>
  <sheetData>
    <row r="1" customFormat="false" ht="15.75" hidden="false" customHeight="true" outlineLevel="0" collapsed="false">
      <c r="A1" s="2" t="s">
        <v>310</v>
      </c>
    </row>
    <row r="3" customFormat="false" ht="15" hidden="false" customHeight="true" outlineLevel="0" collapsed="false">
      <c r="A3" s="10" t="s">
        <v>252</v>
      </c>
      <c r="B3" s="10" t="s">
        <v>186</v>
      </c>
      <c r="C3" s="10" t="s">
        <v>187</v>
      </c>
      <c r="D3" s="10" t="s">
        <v>188</v>
      </c>
      <c r="E3" s="10" t="s">
        <v>311</v>
      </c>
    </row>
    <row r="4" customFormat="false" ht="15" hidden="false" customHeight="true" outlineLevel="0" collapsed="false">
      <c r="A4" s="4" t="s">
        <v>293</v>
      </c>
      <c r="B4" s="32" t="n">
        <f aca="false">'Startup Costs'!B26</f>
        <v>112448</v>
      </c>
      <c r="C4" s="32" t="n">
        <f aca="false">'Startup Costs'!C26</f>
        <v>158741.333333333</v>
      </c>
      <c r="D4" s="32" t="n">
        <f aca="false">'Startup Costs'!D26</f>
        <v>255994.666666667</v>
      </c>
      <c r="E4" s="9"/>
    </row>
    <row r="5" customFormat="false" ht="15" hidden="false" customHeight="true" outlineLevel="0" collapsed="false">
      <c r="A5" s="4" t="s">
        <v>312</v>
      </c>
      <c r="B5" s="32" t="n">
        <f aca="false">'Monthly Opex'!B25</f>
        <v>4413</v>
      </c>
      <c r="C5" s="32" t="n">
        <f aca="false">'Monthly Opex'!C25</f>
        <v>4477</v>
      </c>
      <c r="D5" s="32" t="n">
        <f aca="false">'Monthly Opex'!D25</f>
        <v>6377</v>
      </c>
      <c r="E5" s="9"/>
    </row>
    <row r="6" customFormat="false" ht="15" hidden="false" customHeight="true" outlineLevel="0" collapsed="false">
      <c r="A6" s="4" t="s">
        <v>313</v>
      </c>
      <c r="B6" s="32" t="n">
        <f aca="false">'Monthly Opex'!B26</f>
        <v>6038</v>
      </c>
      <c r="C6" s="32" t="n">
        <f aca="false">'Monthly Opex'!C26</f>
        <v>6733.94444444444</v>
      </c>
      <c r="D6" s="32" t="n">
        <f aca="false">'Monthly Opex'!D26</f>
        <v>10213.8055555556</v>
      </c>
      <c r="E6" s="9"/>
    </row>
    <row r="7" customFormat="false" ht="15" hidden="false" customHeight="true" outlineLevel="0" collapsed="false">
      <c r="A7" s="4" t="s">
        <v>266</v>
      </c>
      <c r="B7" s="25" t="n">
        <f aca="false">'Revenue &amp; Pricing'!B18</f>
        <v>118.153846153846</v>
      </c>
      <c r="C7" s="25" t="n">
        <f aca="false">'Revenue &amp; Pricing'!C18</f>
        <v>237.948717948718</v>
      </c>
      <c r="D7" s="25" t="n">
        <f aca="false">'Revenue &amp; Pricing'!D18</f>
        <v>535.384615384616</v>
      </c>
      <c r="E7" s="9" t="s">
        <v>314</v>
      </c>
    </row>
    <row r="8" customFormat="false" ht="15" hidden="false" customHeight="true" outlineLevel="0" collapsed="false">
      <c r="A8" s="4" t="s">
        <v>315</v>
      </c>
      <c r="B8" s="32" t="n">
        <f aca="false">'Revenue &amp; Pricing'!B25</f>
        <v>2406.00073846154</v>
      </c>
      <c r="C8" s="32" t="n">
        <f aca="false">'Revenue &amp; Pricing'!C25</f>
        <v>4845.41815384615</v>
      </c>
      <c r="D8" s="32" t="n">
        <f aca="false">'Revenue &amp; Pricing'!D25</f>
        <v>10902.1908461539</v>
      </c>
      <c r="E8" s="9"/>
    </row>
    <row r="9" customFormat="false" ht="15" hidden="false" customHeight="true" outlineLevel="0" collapsed="false">
      <c r="A9" s="4" t="s">
        <v>316</v>
      </c>
      <c r="B9" s="25" t="n">
        <f aca="false">'Break-Even'!B9</f>
        <v>222.385506269555</v>
      </c>
      <c r="C9" s="25" t="n">
        <f aca="false">'Break-Even'!C9</f>
        <v>248.017827835183</v>
      </c>
      <c r="D9" s="25" t="n">
        <f aca="false">'Break-Even'!D9</f>
        <v>376.18455107834</v>
      </c>
      <c r="E9" s="9"/>
    </row>
    <row r="10" customFormat="false" ht="15" hidden="false" customHeight="true" outlineLevel="0" collapsed="false">
      <c r="A10" s="4" t="s">
        <v>317</v>
      </c>
      <c r="B10" s="49" t="n">
        <f aca="false">'Break-Even'!B11</f>
        <v>1.88216899837514</v>
      </c>
      <c r="C10" s="49" t="n">
        <f aca="false">'Break-Even'!C11</f>
        <v>1.04231630232458</v>
      </c>
      <c r="D10" s="49" t="n">
        <f aca="false">'Break-Even'!D11</f>
        <v>0.702643558048623</v>
      </c>
      <c r="E10" s="9" t="s">
        <v>318</v>
      </c>
    </row>
    <row r="11" customFormat="false" ht="15" hidden="false" customHeight="true" outlineLevel="0" collapsed="false">
      <c r="A11" s="4" t="s">
        <v>319</v>
      </c>
      <c r="B11" s="32" t="n">
        <f aca="false">'Break-Even'!B13</f>
        <v>-3631.99926153846</v>
      </c>
      <c r="C11" s="32" t="n">
        <f aca="false">'Break-Even'!C13</f>
        <v>-1888.52629059829</v>
      </c>
      <c r="D11" s="32" t="n">
        <f aca="false">'Break-Even'!D13</f>
        <v>688.385290598295</v>
      </c>
      <c r="E11" s="9"/>
    </row>
    <row r="12" customFormat="false" ht="15" hidden="false" customHeight="true" outlineLevel="0" collapsed="false">
      <c r="A12" s="4" t="s">
        <v>320</v>
      </c>
      <c r="B12" s="49" t="n">
        <f aca="false">'Break-Even'!B14</f>
        <v>-1.50955866450019</v>
      </c>
      <c r="C12" s="49" t="n">
        <f aca="false">'Break-Even'!C14</f>
        <v>-0.389755069766112</v>
      </c>
      <c r="D12" s="49" t="n">
        <f aca="false">'Break-Even'!D14</f>
        <v>0.0631419226018363</v>
      </c>
      <c r="E12" s="9"/>
    </row>
    <row r="13" customFormat="false" ht="15" hidden="false" customHeight="true" outlineLevel="0" collapsed="false">
      <c r="A13" s="4" t="s">
        <v>321</v>
      </c>
      <c r="B13" s="39" t="str">
        <f aca="false">'Break-Even'!B16</f>
        <v>never</v>
      </c>
      <c r="C13" s="39" t="str">
        <f aca="false">'Break-Even'!C16</f>
        <v>never</v>
      </c>
      <c r="D13" s="39" t="n">
        <f aca="false">'Break-Even'!D16</f>
        <v>371.877014461152</v>
      </c>
      <c r="E13" s="9"/>
    </row>
    <row r="15" customFormat="false" ht="15" hidden="false" customHeight="true" outlineLevel="0" collapsed="false">
      <c r="A15" s="11" t="s">
        <v>322</v>
      </c>
      <c r="B15" s="12"/>
      <c r="C15" s="12"/>
      <c r="D15" s="12"/>
      <c r="E15" s="12"/>
    </row>
    <row r="16" customFormat="false" ht="15" hidden="false" customHeight="true" outlineLevel="0" collapsed="false">
      <c r="A16" s="10" t="s">
        <v>323</v>
      </c>
      <c r="B16" s="10" t="s">
        <v>186</v>
      </c>
      <c r="C16" s="10" t="s">
        <v>187</v>
      </c>
      <c r="D16" s="10" t="s">
        <v>188</v>
      </c>
      <c r="E16" s="10" t="s">
        <v>155</v>
      </c>
    </row>
    <row r="17" customFormat="false" ht="15" hidden="false" customHeight="true" outlineLevel="0" collapsed="false">
      <c r="A17" s="4" t="s">
        <v>324</v>
      </c>
      <c r="B17" s="4" t="s">
        <v>325</v>
      </c>
      <c r="C17" s="4" t="s">
        <v>326</v>
      </c>
      <c r="D17" s="4" t="s">
        <v>326</v>
      </c>
      <c r="E17" s="9" t="s">
        <v>327</v>
      </c>
    </row>
    <row r="18" customFormat="false" ht="15" hidden="false" customHeight="true" outlineLevel="0" collapsed="false">
      <c r="A18" s="4" t="s">
        <v>328</v>
      </c>
      <c r="B18" s="4" t="s">
        <v>329</v>
      </c>
      <c r="C18" s="4" t="s">
        <v>330</v>
      </c>
      <c r="D18" s="4" t="s">
        <v>330</v>
      </c>
      <c r="E18" s="9" t="s">
        <v>331</v>
      </c>
    </row>
    <row r="19" customFormat="false" ht="15" hidden="false" customHeight="true" outlineLevel="0" collapsed="false">
      <c r="A19" s="4" t="s">
        <v>253</v>
      </c>
      <c r="B19" s="4" t="s">
        <v>332</v>
      </c>
      <c r="C19" s="4" t="s">
        <v>333</v>
      </c>
      <c r="D19" s="4" t="s">
        <v>334</v>
      </c>
      <c r="E19" s="9" t="s">
        <v>335</v>
      </c>
    </row>
    <row r="20" customFormat="false" ht="15" hidden="false" customHeight="true" outlineLevel="0" collapsed="false">
      <c r="A20" s="4" t="s">
        <v>336</v>
      </c>
      <c r="B20" s="4" t="s">
        <v>337</v>
      </c>
      <c r="C20" s="4" t="s">
        <v>338</v>
      </c>
      <c r="D20" s="4" t="s">
        <v>339</v>
      </c>
      <c r="E20" s="9" t="s">
        <v>340</v>
      </c>
    </row>
    <row r="21" customFormat="false" ht="15" hidden="false" customHeight="true" outlineLevel="0" collapsed="false">
      <c r="A21" s="4" t="s">
        <v>341</v>
      </c>
      <c r="B21" s="4" t="s">
        <v>325</v>
      </c>
      <c r="C21" s="4" t="s">
        <v>325</v>
      </c>
      <c r="D21" s="4" t="s">
        <v>342</v>
      </c>
      <c r="E21" s="9" t="s">
        <v>343</v>
      </c>
    </row>
    <row r="22" customFormat="false" ht="15" hidden="false" customHeight="true" outlineLevel="0" collapsed="false">
      <c r="A22" s="4" t="s">
        <v>344</v>
      </c>
      <c r="B22" s="4" t="s">
        <v>345</v>
      </c>
      <c r="C22" s="4" t="s">
        <v>346</v>
      </c>
      <c r="D22" s="4" t="s">
        <v>347</v>
      </c>
      <c r="E22" s="9"/>
    </row>
    <row r="24" customFormat="false" ht="15" hidden="false" customHeight="true" outlineLevel="0" collapsed="false">
      <c r="A24" s="3" t="s">
        <v>348</v>
      </c>
    </row>
    <row r="25" customFormat="false" ht="15" hidden="false" customHeight="true" outlineLevel="0" collapsed="false">
      <c r="A25" s="9" t="s">
        <v>349</v>
      </c>
    </row>
    <row r="26" customFormat="false" ht="15" hidden="false" customHeight="true" outlineLevel="0" collapsed="false">
      <c r="A26" s="9" t="s">
        <v>350</v>
      </c>
    </row>
    <row r="27" customFormat="false" ht="15" hidden="false" customHeight="true" outlineLevel="0" collapsed="false">
      <c r="A27" s="9" t="s">
        <v>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6" min="2" style="1" width="10"/>
  </cols>
  <sheetData>
    <row r="1" customFormat="false" ht="15.75" hidden="false" customHeight="true" outlineLevel="0" collapsed="false">
      <c r="A1" s="2" t="s">
        <v>352</v>
      </c>
    </row>
    <row r="2" customFormat="false" ht="15" hidden="false" customHeight="true" outlineLevel="0" collapsed="false">
      <c r="A2" s="9" t="s">
        <v>353</v>
      </c>
    </row>
    <row r="4" customFormat="false" ht="15" hidden="false" customHeight="true" outlineLevel="0" collapsed="false">
      <c r="A4" s="50" t="s">
        <v>354</v>
      </c>
      <c r="B4" s="51" t="s">
        <v>355</v>
      </c>
      <c r="C4" s="51" t="s">
        <v>356</v>
      </c>
      <c r="D4" s="51" t="s">
        <v>357</v>
      </c>
      <c r="E4" s="51" t="s">
        <v>358</v>
      </c>
      <c r="F4" s="51" t="s">
        <v>359</v>
      </c>
      <c r="G4" s="51" t="s">
        <v>360</v>
      </c>
      <c r="H4" s="51" t="s">
        <v>361</v>
      </c>
      <c r="I4" s="51" t="s">
        <v>362</v>
      </c>
      <c r="J4" s="51" t="s">
        <v>363</v>
      </c>
      <c r="K4" s="51" t="s">
        <v>364</v>
      </c>
      <c r="L4" s="51" t="s">
        <v>365</v>
      </c>
      <c r="M4" s="51" t="s">
        <v>366</v>
      </c>
      <c r="N4" s="51" t="s">
        <v>367</v>
      </c>
      <c r="O4" s="51" t="s">
        <v>368</v>
      </c>
      <c r="P4" s="51" t="s">
        <v>369</v>
      </c>
      <c r="Q4" s="51" t="s">
        <v>370</v>
      </c>
      <c r="R4" s="51" t="s">
        <v>371</v>
      </c>
      <c r="S4" s="51" t="s">
        <v>372</v>
      </c>
      <c r="T4" s="51" t="s">
        <v>373</v>
      </c>
      <c r="U4" s="51" t="s">
        <v>374</v>
      </c>
      <c r="V4" s="51" t="s">
        <v>375</v>
      </c>
      <c r="W4" s="51" t="s">
        <v>376</v>
      </c>
      <c r="X4" s="51" t="s">
        <v>377</v>
      </c>
      <c r="Y4" s="51" t="s">
        <v>378</v>
      </c>
    </row>
    <row r="5" customFormat="false" ht="15" hidden="false" customHeight="true" outlineLevel="0" collapsed="false">
      <c r="A5" s="4" t="s">
        <v>379</v>
      </c>
      <c r="B5" s="20" t="n">
        <v>0</v>
      </c>
      <c r="C5" s="20" t="n">
        <v>0</v>
      </c>
      <c r="D5" s="20" t="n">
        <v>0</v>
      </c>
      <c r="E5" s="20" t="n">
        <v>2</v>
      </c>
      <c r="F5" s="20" t="n">
        <v>4</v>
      </c>
      <c r="G5" s="20" t="n">
        <v>6</v>
      </c>
      <c r="H5" s="20" t="n">
        <v>8</v>
      </c>
      <c r="I5" s="20" t="n">
        <v>9</v>
      </c>
      <c r="J5" s="20" t="n">
        <v>10</v>
      </c>
      <c r="K5" s="20" t="n">
        <v>11</v>
      </c>
      <c r="L5" s="20" t="n">
        <v>12</v>
      </c>
      <c r="M5" s="20" t="n">
        <v>12</v>
      </c>
      <c r="N5" s="20" t="n">
        <v>12</v>
      </c>
      <c r="O5" s="20" t="n">
        <v>12</v>
      </c>
      <c r="P5" s="20" t="n">
        <v>11</v>
      </c>
      <c r="Q5" s="20" t="n">
        <v>11</v>
      </c>
      <c r="R5" s="20" t="n">
        <v>10</v>
      </c>
      <c r="S5" s="20" t="n">
        <v>10</v>
      </c>
      <c r="T5" s="20" t="n">
        <v>10</v>
      </c>
      <c r="U5" s="20" t="n">
        <v>9</v>
      </c>
      <c r="V5" s="20" t="n">
        <v>9</v>
      </c>
      <c r="W5" s="20" t="n">
        <v>9</v>
      </c>
      <c r="X5" s="20" t="n">
        <v>8</v>
      </c>
      <c r="Y5" s="20" t="n">
        <v>8</v>
      </c>
    </row>
    <row r="6" customFormat="false" ht="15" hidden="false" customHeight="true" outlineLevel="0" collapsed="false">
      <c r="A6" s="4" t="s">
        <v>380</v>
      </c>
      <c r="B6" s="40" t="n">
        <v>0</v>
      </c>
      <c r="C6" s="40" t="n">
        <f aca="false">-B7*Assumptions!$B$48</f>
        <v>-0</v>
      </c>
      <c r="D6" s="40" t="n">
        <f aca="false">-C7*Assumptions!$B$48</f>
        <v>-0</v>
      </c>
      <c r="E6" s="40" t="n">
        <f aca="false">-D7*Assumptions!$B$48</f>
        <v>-0</v>
      </c>
      <c r="F6" s="40" t="n">
        <f aca="false">-E7*Assumptions!$B$48</f>
        <v>-0.07</v>
      </c>
      <c r="G6" s="40" t="n">
        <f aca="false">-F7*Assumptions!$B$48</f>
        <v>-0.20755</v>
      </c>
      <c r="H6" s="40" t="n">
        <f aca="false">-G7*Assumptions!$B$48</f>
        <v>-0.41028575</v>
      </c>
      <c r="I6" s="40" t="n">
        <f aca="false">-H7*Assumptions!$B$48</f>
        <v>-0.67592574875</v>
      </c>
      <c r="J6" s="40" t="n">
        <f aca="false">-I7*Assumptions!$B$48</f>
        <v>-0.96726834754375</v>
      </c>
      <c r="K6" s="40" t="n">
        <f aca="false">-J7*Assumptions!$B$48</f>
        <v>-1.28341395537972</v>
      </c>
      <c r="L6" s="40" t="n">
        <f aca="false">-K7*Assumptions!$B$48</f>
        <v>-1.62349446694143</v>
      </c>
      <c r="M6" s="40" t="n">
        <f aca="false">-L7*Assumptions!$B$48</f>
        <v>-1.98667216059848</v>
      </c>
      <c r="N6" s="40" t="n">
        <f aca="false">-M7*Assumptions!$B$48</f>
        <v>-2.33713863497753</v>
      </c>
      <c r="O6" s="40" t="n">
        <f aca="false">-N7*Assumptions!$B$48</f>
        <v>-2.67533878275332</v>
      </c>
      <c r="P6" s="40" t="n">
        <f aca="false">-O7*Assumptions!$B$48</f>
        <v>-3.00170192535695</v>
      </c>
      <c r="Q6" s="40" t="n">
        <f aca="false">-P7*Assumptions!$B$48</f>
        <v>-3.28164235796946</v>
      </c>
      <c r="R6" s="40" t="n">
        <f aca="false">-Q7*Assumptions!$B$48</f>
        <v>-3.55178487544053</v>
      </c>
      <c r="S6" s="40" t="n">
        <f aca="false">-R7*Assumptions!$B$48</f>
        <v>-3.77747240480011</v>
      </c>
      <c r="T6" s="40" t="n">
        <f aca="false">-S7*Assumptions!$B$48</f>
        <v>-3.99526087063211</v>
      </c>
      <c r="U6" s="40" t="n">
        <f aca="false">-T7*Assumptions!$B$48</f>
        <v>-4.20542674015998</v>
      </c>
      <c r="V6" s="40" t="n">
        <f aca="false">-U7*Assumptions!$B$48</f>
        <v>-4.37323680425438</v>
      </c>
      <c r="W6" s="40" t="n">
        <f aca="false">-V7*Assumptions!$B$48</f>
        <v>-4.53517351610548</v>
      </c>
      <c r="X6" s="40" t="n">
        <f aca="false">-W7*Assumptions!$B$48</f>
        <v>-4.69144244304179</v>
      </c>
      <c r="Y6" s="40" t="n">
        <f aca="false">-X7*Assumptions!$B$48</f>
        <v>-4.80724195753533</v>
      </c>
    </row>
    <row r="7" customFormat="false" ht="15" hidden="false" customHeight="true" outlineLevel="0" collapsed="false">
      <c r="A7" s="21" t="s">
        <v>381</v>
      </c>
      <c r="B7" s="43" t="n">
        <f aca="false">B5+B6</f>
        <v>0</v>
      </c>
      <c r="C7" s="43" t="n">
        <f aca="false">B7+C5+C6</f>
        <v>0</v>
      </c>
      <c r="D7" s="43" t="n">
        <f aca="false">C7+D5+D6</f>
        <v>0</v>
      </c>
      <c r="E7" s="43" t="n">
        <f aca="false">D7+E5+E6</f>
        <v>2</v>
      </c>
      <c r="F7" s="43" t="n">
        <f aca="false">E7+F5+F6</f>
        <v>5.93</v>
      </c>
      <c r="G7" s="43" t="n">
        <f aca="false">F7+G5+G6</f>
        <v>11.72245</v>
      </c>
      <c r="H7" s="43" t="n">
        <f aca="false">G7+H5+H6</f>
        <v>19.31216425</v>
      </c>
      <c r="I7" s="43" t="n">
        <f aca="false">H7+I5+I6</f>
        <v>27.63623850125</v>
      </c>
      <c r="J7" s="43" t="n">
        <f aca="false">I7+J5+J6</f>
        <v>36.6689701537063</v>
      </c>
      <c r="K7" s="43" t="n">
        <f aca="false">J7+K5+K6</f>
        <v>46.3855561983265</v>
      </c>
      <c r="L7" s="43" t="n">
        <f aca="false">K7+L5+L6</f>
        <v>56.7620617313851</v>
      </c>
      <c r="M7" s="43" t="n">
        <f aca="false">L7+M5+M6</f>
        <v>66.7753895707866</v>
      </c>
      <c r="N7" s="43" t="n">
        <f aca="false">M7+N5+N6</f>
        <v>76.4382509358091</v>
      </c>
      <c r="O7" s="43" t="n">
        <f aca="false">N7+O5+O6</f>
        <v>85.7629121530558</v>
      </c>
      <c r="P7" s="43" t="n">
        <f aca="false">O7+P5+P6</f>
        <v>93.7612102276988</v>
      </c>
      <c r="Q7" s="43" t="n">
        <f aca="false">P7+Q5+Q6</f>
        <v>101.479567869729</v>
      </c>
      <c r="R7" s="43" t="n">
        <f aca="false">Q7+R5+R6</f>
        <v>107.927782994289</v>
      </c>
      <c r="S7" s="43" t="n">
        <f aca="false">R7+S5+S6</f>
        <v>114.150310589489</v>
      </c>
      <c r="T7" s="43" t="n">
        <f aca="false">S7+T5+T6</f>
        <v>120.155049718857</v>
      </c>
      <c r="U7" s="43" t="n">
        <f aca="false">T7+U5+U6</f>
        <v>124.949622978697</v>
      </c>
      <c r="V7" s="43" t="n">
        <f aca="false">U7+V5+V6</f>
        <v>129.576386174442</v>
      </c>
      <c r="W7" s="43" t="n">
        <f aca="false">V7+W5+W6</f>
        <v>134.041212658337</v>
      </c>
      <c r="X7" s="43" t="n">
        <f aca="false">W7+X5+X6</f>
        <v>137.349770215295</v>
      </c>
      <c r="Y7" s="43" t="n">
        <f aca="false">X7+Y5+Y6</f>
        <v>140.54252825776</v>
      </c>
      <c r="Z7" s="29"/>
    </row>
    <row r="9" customFormat="false" ht="15" hidden="false" customHeight="true" outlineLevel="0" collapsed="false">
      <c r="A9" s="4" t="s">
        <v>382</v>
      </c>
      <c r="B9" s="34" t="n">
        <f aca="false">B7*Capacity!$B$24</f>
        <v>0</v>
      </c>
      <c r="C9" s="34" t="n">
        <f aca="false">C7*Capacity!$B$24</f>
        <v>0</v>
      </c>
      <c r="D9" s="34" t="n">
        <f aca="false">D7*Capacity!$B$24</f>
        <v>0</v>
      </c>
      <c r="E9" s="34" t="n">
        <f aca="false">E7*Capacity!$B$24</f>
        <v>57.1</v>
      </c>
      <c r="F9" s="34" t="n">
        <f aca="false">F7*Capacity!$B$24</f>
        <v>169.3015</v>
      </c>
      <c r="G9" s="34" t="n">
        <f aca="false">G7*Capacity!$B$24</f>
        <v>334.6759475</v>
      </c>
      <c r="H9" s="34" t="n">
        <f aca="false">H7*Capacity!$B$24</f>
        <v>551.3622893375</v>
      </c>
      <c r="I9" s="34" t="n">
        <f aca="false">I7*Capacity!$B$24</f>
        <v>789.014609210688</v>
      </c>
      <c r="J9" s="34" t="n">
        <f aca="false">J7*Capacity!$B$24</f>
        <v>1046.89909788831</v>
      </c>
      <c r="K9" s="34" t="n">
        <f aca="false">K7*Capacity!$B$24</f>
        <v>1324.30762946222</v>
      </c>
      <c r="L9" s="34" t="n">
        <f aca="false">L7*Capacity!$B$24</f>
        <v>1620.55686243104</v>
      </c>
      <c r="M9" s="34" t="n">
        <f aca="false">M7*Capacity!$B$24</f>
        <v>1906.43737224596</v>
      </c>
      <c r="N9" s="34" t="n">
        <f aca="false">N7*Capacity!$B$24</f>
        <v>2182.31206421735</v>
      </c>
      <c r="O9" s="34" t="n">
        <f aca="false">O7*Capacity!$B$24</f>
        <v>2448.53114196974</v>
      </c>
      <c r="P9" s="34" t="n">
        <f aca="false">P7*Capacity!$B$24</f>
        <v>2676.8825520008</v>
      </c>
      <c r="Q9" s="34" t="n">
        <f aca="false">Q7*Capacity!$B$24</f>
        <v>2897.24166268077</v>
      </c>
      <c r="R9" s="34" t="n">
        <f aca="false">R7*Capacity!$B$24</f>
        <v>3081.33820448695</v>
      </c>
      <c r="S9" s="34" t="n">
        <f aca="false">S7*Capacity!$B$24</f>
        <v>3258.9913673299</v>
      </c>
      <c r="T9" s="34" t="n">
        <f aca="false">T7*Capacity!$B$24</f>
        <v>3430.42666947336</v>
      </c>
      <c r="U9" s="34" t="n">
        <f aca="false">U7*Capacity!$B$24</f>
        <v>3567.31173604179</v>
      </c>
      <c r="V9" s="34" t="n">
        <f aca="false">V7*Capacity!$B$24</f>
        <v>3699.40582528033</v>
      </c>
      <c r="W9" s="34" t="n">
        <f aca="false">W7*Capacity!$B$24</f>
        <v>3826.87662139552</v>
      </c>
      <c r="X9" s="34" t="n">
        <f aca="false">X7*Capacity!$B$24</f>
        <v>3921.33593964667</v>
      </c>
      <c r="Y9" s="34" t="n">
        <f aca="false">Y7*Capacity!$B$24</f>
        <v>4012.48918175904</v>
      </c>
    </row>
    <row r="10" customFormat="false" ht="15" hidden="false" customHeight="true" outlineLevel="0" collapsed="false">
      <c r="A10" s="4" t="s">
        <v>383</v>
      </c>
      <c r="B10" s="34" t="n">
        <f aca="false">-B9*(Assumptions!$B$44+Assumptions!$B$45+Assumptions!$B$46)</f>
        <v>-0</v>
      </c>
      <c r="C10" s="34" t="n">
        <f aca="false">-C9*(Assumptions!$B$44+Assumptions!$B$45+Assumptions!$B$46)</f>
        <v>-0</v>
      </c>
      <c r="D10" s="34" t="n">
        <f aca="false">-D9*(Assumptions!$B$44+Assumptions!$B$45+Assumptions!$B$46)</f>
        <v>-0</v>
      </c>
      <c r="E10" s="34" t="n">
        <f aca="false">-E9*(Assumptions!$B$44+Assumptions!$B$45+Assumptions!$B$46)</f>
        <v>-2.7979</v>
      </c>
      <c r="F10" s="34" t="n">
        <f aca="false">-F9*(Assumptions!$B$44+Assumptions!$B$45+Assumptions!$B$46)</f>
        <v>-8.2957735</v>
      </c>
      <c r="G10" s="34" t="n">
        <f aca="false">-G9*(Assumptions!$B$44+Assumptions!$B$45+Assumptions!$B$46)</f>
        <v>-16.3991214275</v>
      </c>
      <c r="H10" s="34" t="n">
        <f aca="false">-H9*(Assumptions!$B$44+Assumptions!$B$45+Assumptions!$B$46)</f>
        <v>-27.0167521775375</v>
      </c>
      <c r="I10" s="34" t="n">
        <f aca="false">-I9*(Assumptions!$B$44+Assumptions!$B$45+Assumptions!$B$46)</f>
        <v>-38.6617158513237</v>
      </c>
      <c r="J10" s="34" t="n">
        <f aca="false">-J9*(Assumptions!$B$44+Assumptions!$B$45+Assumptions!$B$46)</f>
        <v>-51.2980557965274</v>
      </c>
      <c r="K10" s="34" t="n">
        <f aca="false">-K9*(Assumptions!$B$44+Assumptions!$B$45+Assumptions!$B$46)</f>
        <v>-64.8910738436489</v>
      </c>
      <c r="L10" s="34" t="n">
        <f aca="false">-L9*(Assumptions!$B$44+Assumptions!$B$45+Assumptions!$B$46)</f>
        <v>-79.4072862591212</v>
      </c>
      <c r="M10" s="34" t="n">
        <f aca="false">-M9*(Assumptions!$B$44+Assumptions!$B$45+Assumptions!$B$46)</f>
        <v>-93.4154312400519</v>
      </c>
      <c r="N10" s="34" t="n">
        <f aca="false">-N9*(Assumptions!$B$44+Assumptions!$B$45+Assumptions!$B$46)</f>
        <v>-106.93329114665</v>
      </c>
      <c r="O10" s="34" t="n">
        <f aca="false">-O9*(Assumptions!$B$44+Assumptions!$B$45+Assumptions!$B$46)</f>
        <v>-119.978025956517</v>
      </c>
      <c r="P10" s="34" t="n">
        <f aca="false">-P9*(Assumptions!$B$44+Assumptions!$B$45+Assumptions!$B$46)</f>
        <v>-131.167245048039</v>
      </c>
      <c r="Q10" s="34" t="n">
        <f aca="false">-Q9*(Assumptions!$B$44+Assumptions!$B$45+Assumptions!$B$46)</f>
        <v>-141.964841471358</v>
      </c>
      <c r="R10" s="34" t="n">
        <f aca="false">-R9*(Assumptions!$B$44+Assumptions!$B$45+Assumptions!$B$46)</f>
        <v>-150.98557201986</v>
      </c>
      <c r="S10" s="34" t="n">
        <f aca="false">-S9*(Assumptions!$B$44+Assumptions!$B$45+Assumptions!$B$46)</f>
        <v>-159.690576999165</v>
      </c>
      <c r="T10" s="34" t="n">
        <f aca="false">-T9*(Assumptions!$B$44+Assumptions!$B$45+Assumptions!$B$46)</f>
        <v>-168.090906804194</v>
      </c>
      <c r="U10" s="34" t="n">
        <f aca="false">-U9*(Assumptions!$B$44+Assumptions!$B$45+Assumptions!$B$46)</f>
        <v>-174.798275066048</v>
      </c>
      <c r="V10" s="34" t="n">
        <f aca="false">-V9*(Assumptions!$B$44+Assumptions!$B$45+Assumptions!$B$46)</f>
        <v>-181.270885438736</v>
      </c>
      <c r="W10" s="34" t="n">
        <f aca="false">-W9*(Assumptions!$B$44+Assumptions!$B$45+Assumptions!$B$46)</f>
        <v>-187.51695444838</v>
      </c>
      <c r="X10" s="34" t="n">
        <f aca="false">-X9*(Assumptions!$B$44+Assumptions!$B$45+Assumptions!$B$46)</f>
        <v>-192.145461042687</v>
      </c>
      <c r="Y10" s="34" t="n">
        <f aca="false">-Y9*(Assumptions!$B$44+Assumptions!$B$45+Assumptions!$B$46)</f>
        <v>-196.611969906193</v>
      </c>
    </row>
    <row r="11" customFormat="false" ht="15" hidden="false" customHeight="true" outlineLevel="0" collapsed="false">
      <c r="A11" s="4" t="s">
        <v>384</v>
      </c>
      <c r="B11" s="34" t="n">
        <f aca="false">B9+B10</f>
        <v>0</v>
      </c>
      <c r="C11" s="34" t="n">
        <f aca="false">C9+C10</f>
        <v>0</v>
      </c>
      <c r="D11" s="34" t="n">
        <f aca="false">D9+D10</f>
        <v>0</v>
      </c>
      <c r="E11" s="34" t="n">
        <f aca="false">E9+E10</f>
        <v>54.3021</v>
      </c>
      <c r="F11" s="34" t="n">
        <f aca="false">F9+F10</f>
        <v>161.0057265</v>
      </c>
      <c r="G11" s="34" t="n">
        <f aca="false">G9+G10</f>
        <v>318.2768260725</v>
      </c>
      <c r="H11" s="34" t="n">
        <f aca="false">H9+H10</f>
        <v>524.345537159963</v>
      </c>
      <c r="I11" s="34" t="n">
        <f aca="false">I9+I10</f>
        <v>750.352893359364</v>
      </c>
      <c r="J11" s="34" t="n">
        <f aca="false">J9+J10</f>
        <v>995.601042091786</v>
      </c>
      <c r="K11" s="34" t="n">
        <f aca="false">K9+K10</f>
        <v>1259.41655561857</v>
      </c>
      <c r="L11" s="34" t="n">
        <f aca="false">L9+L10</f>
        <v>1541.14957617192</v>
      </c>
      <c r="M11" s="34" t="n">
        <f aca="false">M9+M10</f>
        <v>1813.02194100591</v>
      </c>
      <c r="N11" s="34" t="n">
        <f aca="false">N9+N10</f>
        <v>2075.3787730707</v>
      </c>
      <c r="O11" s="34" t="n">
        <f aca="false">O9+O10</f>
        <v>2328.55311601323</v>
      </c>
      <c r="P11" s="34" t="n">
        <f aca="false">P9+P10</f>
        <v>2545.71530695276</v>
      </c>
      <c r="Q11" s="34" t="n">
        <f aca="false">Q9+Q10</f>
        <v>2755.27682120942</v>
      </c>
      <c r="R11" s="34" t="n">
        <f aca="false">R9+R10</f>
        <v>2930.35263246709</v>
      </c>
      <c r="S11" s="34" t="n">
        <f aca="false">S9+S10</f>
        <v>3099.30079033074</v>
      </c>
      <c r="T11" s="34" t="n">
        <f aca="false">T9+T10</f>
        <v>3262.33576266916</v>
      </c>
      <c r="U11" s="34" t="n">
        <f aca="false">U9+U10</f>
        <v>3392.51346097574</v>
      </c>
      <c r="V11" s="34" t="n">
        <f aca="false">V9+V10</f>
        <v>3518.13493984159</v>
      </c>
      <c r="W11" s="34" t="n">
        <f aca="false">W9+W10</f>
        <v>3639.35966694714</v>
      </c>
      <c r="X11" s="34" t="n">
        <f aca="false">X9+X10</f>
        <v>3729.19047860399</v>
      </c>
      <c r="Y11" s="34" t="n">
        <f aca="false">Y9+Y10</f>
        <v>3815.87721185285</v>
      </c>
    </row>
    <row r="12" customFormat="false" ht="15" hidden="false" customHeight="true" outlineLevel="0" collapsed="false">
      <c r="A12" s="4" t="s">
        <v>385</v>
      </c>
      <c r="B12" s="34" t="n">
        <f aca="false">-'Monthly Opex'!$B$25</f>
        <v>-4413</v>
      </c>
      <c r="C12" s="34" t="n">
        <f aca="false">-'Monthly Opex'!$B$25</f>
        <v>-4413</v>
      </c>
      <c r="D12" s="34" t="n">
        <f aca="false">-'Monthly Opex'!$B$25</f>
        <v>-4413</v>
      </c>
      <c r="E12" s="34" t="n">
        <f aca="false">-'Monthly Opex'!$B$25</f>
        <v>-4413</v>
      </c>
      <c r="F12" s="34" t="n">
        <f aca="false">-'Monthly Opex'!$B$25</f>
        <v>-4413</v>
      </c>
      <c r="G12" s="34" t="n">
        <f aca="false">-'Monthly Opex'!$B$25</f>
        <v>-4413</v>
      </c>
      <c r="H12" s="34" t="n">
        <f aca="false">-'Monthly Opex'!$B$25</f>
        <v>-4413</v>
      </c>
      <c r="I12" s="34" t="n">
        <f aca="false">-'Monthly Opex'!$B$25</f>
        <v>-4413</v>
      </c>
      <c r="J12" s="34" t="n">
        <f aca="false">-'Monthly Opex'!$B$25</f>
        <v>-4413</v>
      </c>
      <c r="K12" s="34" t="n">
        <f aca="false">-'Monthly Opex'!$B$25</f>
        <v>-4413</v>
      </c>
      <c r="L12" s="34" t="n">
        <f aca="false">-'Monthly Opex'!$B$25</f>
        <v>-4413</v>
      </c>
      <c r="M12" s="34" t="n">
        <f aca="false">-'Monthly Opex'!$B$25</f>
        <v>-4413</v>
      </c>
      <c r="N12" s="34" t="n">
        <f aca="false">-'Monthly Opex'!$B$25</f>
        <v>-4413</v>
      </c>
      <c r="O12" s="34" t="n">
        <f aca="false">-'Monthly Opex'!$B$25</f>
        <v>-4413</v>
      </c>
      <c r="P12" s="34" t="n">
        <f aca="false">-'Monthly Opex'!$B$25</f>
        <v>-4413</v>
      </c>
      <c r="Q12" s="34" t="n">
        <f aca="false">-'Monthly Opex'!$B$25</f>
        <v>-4413</v>
      </c>
      <c r="R12" s="34" t="n">
        <f aca="false">-'Monthly Opex'!$B$25</f>
        <v>-4413</v>
      </c>
      <c r="S12" s="34" t="n">
        <f aca="false">-'Monthly Opex'!$B$25</f>
        <v>-4413</v>
      </c>
      <c r="T12" s="34" t="n">
        <f aca="false">-'Monthly Opex'!$B$25</f>
        <v>-4413</v>
      </c>
      <c r="U12" s="34" t="n">
        <f aca="false">-'Monthly Opex'!$B$25</f>
        <v>-4413</v>
      </c>
      <c r="V12" s="34" t="n">
        <f aca="false">-'Monthly Opex'!$B$25</f>
        <v>-4413</v>
      </c>
      <c r="W12" s="34" t="n">
        <f aca="false">-'Monthly Opex'!$B$25</f>
        <v>-4413</v>
      </c>
      <c r="X12" s="34" t="n">
        <f aca="false">-'Monthly Opex'!$B$25</f>
        <v>-4413</v>
      </c>
      <c r="Y12" s="34" t="n">
        <f aca="false">-'Monthly Opex'!$B$25</f>
        <v>-4413</v>
      </c>
    </row>
    <row r="13" customFormat="false" ht="15" hidden="false" customHeight="true" outlineLevel="0" collapsed="false">
      <c r="A13" s="4" t="s">
        <v>386</v>
      </c>
      <c r="B13" s="34" t="n">
        <f aca="false">-'Startup Costs'!$B$26</f>
        <v>-112448</v>
      </c>
      <c r="C13" s="34" t="n">
        <v>0</v>
      </c>
      <c r="D13" s="34" t="n">
        <v>0</v>
      </c>
      <c r="E13" s="34" t="n">
        <v>0</v>
      </c>
      <c r="F13" s="34" t="n">
        <v>0</v>
      </c>
      <c r="G13" s="34" t="n">
        <v>0</v>
      </c>
      <c r="H13" s="34" t="n">
        <v>0</v>
      </c>
      <c r="I13" s="34" t="n">
        <v>0</v>
      </c>
      <c r="J13" s="34" t="n">
        <v>0</v>
      </c>
      <c r="K13" s="34" t="n">
        <v>0</v>
      </c>
      <c r="L13" s="34" t="n">
        <v>0</v>
      </c>
      <c r="M13" s="34" t="n">
        <v>0</v>
      </c>
      <c r="N13" s="34" t="n">
        <v>0</v>
      </c>
      <c r="O13" s="34" t="n">
        <v>0</v>
      </c>
      <c r="P13" s="34" t="n">
        <v>0</v>
      </c>
      <c r="Q13" s="34" t="n">
        <v>0</v>
      </c>
      <c r="R13" s="34" t="n">
        <v>0</v>
      </c>
      <c r="S13" s="34" t="n">
        <v>0</v>
      </c>
      <c r="T13" s="34" t="n">
        <v>0</v>
      </c>
      <c r="U13" s="34" t="n">
        <v>0</v>
      </c>
      <c r="V13" s="34" t="n">
        <v>0</v>
      </c>
      <c r="W13" s="34" t="n">
        <v>0</v>
      </c>
      <c r="X13" s="34" t="n">
        <v>0</v>
      </c>
      <c r="Y13" s="34" t="n">
        <v>0</v>
      </c>
    </row>
    <row r="14" customFormat="false" ht="15" hidden="false" customHeight="true" outlineLevel="0" collapsed="false">
      <c r="A14" s="21" t="s">
        <v>387</v>
      </c>
      <c r="B14" s="24" t="n">
        <f aca="false">B11+B12+B13</f>
        <v>-116861</v>
      </c>
      <c r="C14" s="24" t="n">
        <f aca="false">C11+C12+C13</f>
        <v>-4413</v>
      </c>
      <c r="D14" s="24" t="n">
        <f aca="false">D11+D12+D13</f>
        <v>-4413</v>
      </c>
      <c r="E14" s="24" t="n">
        <f aca="false">E11+E12+E13</f>
        <v>-4358.6979</v>
      </c>
      <c r="F14" s="24" t="n">
        <f aca="false">F11+F12+F13</f>
        <v>-4251.9942735</v>
      </c>
      <c r="G14" s="24" t="n">
        <f aca="false">G11+G12+G13</f>
        <v>-4094.7231739275</v>
      </c>
      <c r="H14" s="24" t="n">
        <f aca="false">H11+H12+H13</f>
        <v>-3888.65446284004</v>
      </c>
      <c r="I14" s="24" t="n">
        <f aca="false">I11+I12+I13</f>
        <v>-3662.64710664064</v>
      </c>
      <c r="J14" s="24" t="n">
        <f aca="false">J11+J12+J13</f>
        <v>-3417.39895790821</v>
      </c>
      <c r="K14" s="24" t="n">
        <f aca="false">K11+K12+K13</f>
        <v>-3153.58344438143</v>
      </c>
      <c r="L14" s="24" t="n">
        <f aca="false">L11+L12+L13</f>
        <v>-2871.85042382808</v>
      </c>
      <c r="M14" s="24" t="n">
        <f aca="false">M11+M12+M13</f>
        <v>-2599.97805899409</v>
      </c>
      <c r="N14" s="24" t="n">
        <f aca="false">N11+N12+N13</f>
        <v>-2337.6212269293</v>
      </c>
      <c r="O14" s="24" t="n">
        <f aca="false">O11+O12+O13</f>
        <v>-2084.44688398677</v>
      </c>
      <c r="P14" s="24" t="n">
        <f aca="false">P11+P12+P13</f>
        <v>-1867.28469304724</v>
      </c>
      <c r="Q14" s="24" t="n">
        <f aca="false">Q11+Q12+Q13</f>
        <v>-1657.72317879058</v>
      </c>
      <c r="R14" s="24" t="n">
        <f aca="false">R11+R12+R13</f>
        <v>-1482.64736753291</v>
      </c>
      <c r="S14" s="24" t="n">
        <f aca="false">S11+S12+S13</f>
        <v>-1313.69920966926</v>
      </c>
      <c r="T14" s="24" t="n">
        <f aca="false">T11+T12+T13</f>
        <v>-1150.66423733084</v>
      </c>
      <c r="U14" s="24" t="n">
        <f aca="false">U11+U12+U13</f>
        <v>-1020.48653902426</v>
      </c>
      <c r="V14" s="24" t="n">
        <f aca="false">V11+V12+V13</f>
        <v>-894.86506015841</v>
      </c>
      <c r="W14" s="24" t="n">
        <f aca="false">W11+W12+W13</f>
        <v>-773.640333052865</v>
      </c>
      <c r="X14" s="24" t="n">
        <f aca="false">X11+X12+X13</f>
        <v>-683.809521396015</v>
      </c>
      <c r="Y14" s="24" t="n">
        <f aca="false">Y11+Y12+Y13</f>
        <v>-597.122788147154</v>
      </c>
      <c r="Z14" s="29"/>
    </row>
    <row r="15" customFormat="false" ht="15" hidden="false" customHeight="true" outlineLevel="0" collapsed="false">
      <c r="A15" s="44" t="s">
        <v>388</v>
      </c>
      <c r="B15" s="52" t="n">
        <f aca="false">B14</f>
        <v>-116861</v>
      </c>
      <c r="C15" s="52" t="n">
        <f aca="false">B15+C14</f>
        <v>-121274</v>
      </c>
      <c r="D15" s="52" t="n">
        <f aca="false">C15+D14</f>
        <v>-125687</v>
      </c>
      <c r="E15" s="52" t="n">
        <f aca="false">D15+E14</f>
        <v>-130045.6979</v>
      </c>
      <c r="F15" s="52" t="n">
        <f aca="false">E15+F14</f>
        <v>-134297.6921735</v>
      </c>
      <c r="G15" s="52" t="n">
        <f aca="false">F15+G14</f>
        <v>-138392.415347427</v>
      </c>
      <c r="H15" s="52" t="n">
        <f aca="false">G15+H14</f>
        <v>-142281.069810268</v>
      </c>
      <c r="I15" s="52" t="n">
        <f aca="false">H15+I14</f>
        <v>-145943.716916908</v>
      </c>
      <c r="J15" s="52" t="n">
        <f aca="false">I15+J14</f>
        <v>-149361.115874816</v>
      </c>
      <c r="K15" s="52" t="n">
        <f aca="false">J15+K14</f>
        <v>-152514.699319198</v>
      </c>
      <c r="L15" s="52" t="n">
        <f aca="false">K15+L14</f>
        <v>-155386.549743026</v>
      </c>
      <c r="M15" s="52" t="n">
        <f aca="false">L15+M14</f>
        <v>-157986.52780202</v>
      </c>
      <c r="N15" s="52" t="n">
        <f aca="false">M15+N14</f>
        <v>-160324.149028949</v>
      </c>
      <c r="O15" s="52" t="n">
        <f aca="false">N15+O14</f>
        <v>-162408.595912936</v>
      </c>
      <c r="P15" s="52" t="n">
        <f aca="false">O15+P14</f>
        <v>-164275.880605983</v>
      </c>
      <c r="Q15" s="52" t="n">
        <f aca="false">P15+Q14</f>
        <v>-165933.603784774</v>
      </c>
      <c r="R15" s="52" t="n">
        <f aca="false">Q15+R14</f>
        <v>-167416.251152307</v>
      </c>
      <c r="S15" s="52" t="n">
        <f aca="false">R15+S14</f>
        <v>-168729.950361976</v>
      </c>
      <c r="T15" s="52" t="n">
        <f aca="false">S15+T14</f>
        <v>-169880.614599307</v>
      </c>
      <c r="U15" s="52" t="n">
        <f aca="false">T15+U14</f>
        <v>-170901.101138331</v>
      </c>
      <c r="V15" s="52" t="n">
        <f aca="false">U15+V14</f>
        <v>-171795.96619849</v>
      </c>
      <c r="W15" s="52" t="n">
        <f aca="false">V15+W14</f>
        <v>-172569.606531542</v>
      </c>
      <c r="X15" s="52" t="n">
        <f aca="false">W15+X14</f>
        <v>-173253.416052938</v>
      </c>
      <c r="Y15" s="52" t="n">
        <f aca="false">X15+Y14</f>
        <v>-173850.538841086</v>
      </c>
      <c r="Z15" s="53"/>
    </row>
    <row r="18" customFormat="false" ht="15" hidden="false" customHeight="true" outlineLevel="0" collapsed="false">
      <c r="A18" s="3" t="s">
        <v>389</v>
      </c>
    </row>
    <row r="19" customFormat="false" ht="15" hidden="false" customHeight="true" outlineLevel="0" collapsed="false">
      <c r="A19" s="3" t="s">
        <v>390</v>
      </c>
      <c r="B19" s="24" t="n">
        <f aca="false">-MIN(B15:Y15)</f>
        <v>173850.538841086</v>
      </c>
      <c r="D19" s="9" t="s">
        <v>391</v>
      </c>
    </row>
    <row r="20" customFormat="false" ht="15" hidden="false" customHeight="true" outlineLevel="0" collapsed="false">
      <c r="A20" s="3" t="s">
        <v>392</v>
      </c>
      <c r="B20" s="43" t="n">
        <f aca="false">Y7</f>
        <v>140.54252825776</v>
      </c>
      <c r="D20" s="9"/>
    </row>
    <row r="21" customFormat="false" ht="15" hidden="false" customHeight="true" outlineLevel="0" collapsed="false">
      <c r="A21" s="3" t="s">
        <v>393</v>
      </c>
      <c r="B21" s="24" t="n">
        <f aca="false">Y11</f>
        <v>3815.87721185285</v>
      </c>
      <c r="D21" s="9"/>
    </row>
    <row r="22" customFormat="false" ht="15" hidden="false" customHeight="true" outlineLevel="0" collapsed="false">
      <c r="A22" s="3" t="s">
        <v>394</v>
      </c>
      <c r="B22" s="24" t="n">
        <f aca="false">Y14</f>
        <v>-597.122788147154</v>
      </c>
      <c r="D22" s="9"/>
    </row>
    <row r="23" customFormat="false" ht="15" hidden="false" customHeight="true" outlineLevel="0" collapsed="false">
      <c r="A23" s="3" t="s">
        <v>395</v>
      </c>
      <c r="B23" s="24" t="n">
        <f aca="false">Y15</f>
        <v>-173850.538841086</v>
      </c>
      <c r="D23" s="9" t="s">
        <v>396</v>
      </c>
    </row>
    <row r="24" customFormat="false" ht="15" hidden="false" customHeight="true" outlineLevel="0" collapsed="false">
      <c r="A24" s="3" t="s">
        <v>316</v>
      </c>
      <c r="B24" s="43" t="n">
        <f aca="false">'Break-Even'!B9</f>
        <v>222.385506269555</v>
      </c>
      <c r="D24" s="9"/>
    </row>
    <row r="26" customFormat="false" ht="15" hidden="false" customHeight="true" outlineLevel="0" collapsed="false">
      <c r="A26" s="9" t="s">
        <v>397</v>
      </c>
    </row>
    <row r="27" customFormat="false" ht="15" hidden="false" customHeight="true" outlineLevel="0" collapsed="false">
      <c r="A27" s="9" t="s">
        <v>398</v>
      </c>
    </row>
    <row r="28" customFormat="false" ht="15" hidden="false" customHeight="true" outlineLevel="0" collapsed="false">
      <c r="A28" s="9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  <col collapsed="false" customWidth="true" hidden="false" outlineLevel="0" max="5" min="5" style="0" width="66"/>
    <col collapsed="false" customWidth="true" hidden="false" outlineLevel="0" max="6" min="6" style="0" width="14"/>
    <col collapsed="false" customWidth="true" hidden="false" outlineLevel="0" max="7" min="7" style="0" width="18"/>
  </cols>
  <sheetData>
    <row r="1" customFormat="false" ht="16.15" hidden="false" customHeight="false" outlineLevel="0" collapsed="false">
      <c r="A1" s="54" t="s">
        <v>400</v>
      </c>
    </row>
    <row r="2" customFormat="false" ht="15" hidden="false" customHeight="false" outlineLevel="0" collapsed="false">
      <c r="A2" s="55" t="s">
        <v>401</v>
      </c>
    </row>
    <row r="4" customFormat="false" ht="15" hidden="false" customHeight="false" outlineLevel="0" collapsed="false">
      <c r="A4" s="56" t="s">
        <v>402</v>
      </c>
      <c r="B4" s="57"/>
      <c r="C4" s="57"/>
      <c r="D4" s="57"/>
      <c r="E4" s="57"/>
    </row>
    <row r="5" customFormat="false" ht="15" hidden="false" customHeight="false" outlineLevel="0" collapsed="false">
      <c r="A5" s="58" t="s">
        <v>403</v>
      </c>
    </row>
    <row r="6" customFormat="false" ht="15" hidden="false" customHeight="false" outlineLevel="0" collapsed="false">
      <c r="A6" s="59" t="s">
        <v>404</v>
      </c>
      <c r="B6" s="60" t="n">
        <v>59.5</v>
      </c>
      <c r="E6" s="55" t="s">
        <v>405</v>
      </c>
    </row>
    <row r="7" customFormat="false" ht="15" hidden="false" customHeight="false" outlineLevel="0" collapsed="false">
      <c r="A7" s="59" t="s">
        <v>406</v>
      </c>
      <c r="B7" s="60" t="n">
        <v>114.9</v>
      </c>
      <c r="E7" s="55" t="s">
        <v>407</v>
      </c>
    </row>
    <row r="8" customFormat="false" ht="15" hidden="false" customHeight="false" outlineLevel="0" collapsed="false">
      <c r="A8" s="59" t="s">
        <v>408</v>
      </c>
      <c r="B8" s="60" t="n">
        <v>59.1</v>
      </c>
      <c r="E8" s="55" t="s">
        <v>409</v>
      </c>
    </row>
    <row r="9" customFormat="false" ht="15" hidden="false" customHeight="false" outlineLevel="0" collapsed="false">
      <c r="A9" s="61" t="s">
        <v>410</v>
      </c>
      <c r="B9" s="62" t="n">
        <v>59.1</v>
      </c>
      <c r="C9" s="63"/>
      <c r="D9" s="63"/>
      <c r="E9" s="64" t="s">
        <v>411</v>
      </c>
    </row>
    <row r="11" customFormat="false" ht="15" hidden="false" customHeight="false" outlineLevel="0" collapsed="false">
      <c r="A11" s="58" t="s">
        <v>412</v>
      </c>
    </row>
    <row r="13" customFormat="false" ht="15" hidden="false" customHeight="false" outlineLevel="0" collapsed="false">
      <c r="A13" s="56" t="s">
        <v>413</v>
      </c>
      <c r="B13" s="57"/>
      <c r="C13" s="57"/>
      <c r="D13" s="57"/>
      <c r="E13" s="57"/>
    </row>
    <row r="14" customFormat="false" ht="15" hidden="false" customHeight="false" outlineLevel="0" collapsed="false">
      <c r="A14" s="10" t="s">
        <v>42</v>
      </c>
      <c r="B14" s="10" t="s">
        <v>43</v>
      </c>
      <c r="C14" s="10" t="s">
        <v>44</v>
      </c>
      <c r="D14" s="10"/>
      <c r="E14" s="10" t="s">
        <v>414</v>
      </c>
    </row>
    <row r="15" customFormat="false" ht="15" hidden="false" customHeight="false" outlineLevel="0" collapsed="false">
      <c r="A15" s="59" t="s">
        <v>415</v>
      </c>
      <c r="B15" s="65" t="n">
        <v>16000</v>
      </c>
      <c r="C15" s="59" t="s">
        <v>48</v>
      </c>
      <c r="E15" s="55" t="s">
        <v>416</v>
      </c>
    </row>
    <row r="16" customFormat="false" ht="15" hidden="false" customHeight="false" outlineLevel="0" collapsed="false">
      <c r="A16" s="59" t="s">
        <v>50</v>
      </c>
      <c r="B16" s="66" t="n">
        <v>1024</v>
      </c>
      <c r="C16" s="59" t="s">
        <v>51</v>
      </c>
      <c r="E16" s="55" t="s">
        <v>417</v>
      </c>
    </row>
    <row r="17" customFormat="false" ht="15" hidden="false" customHeight="false" outlineLevel="0" collapsed="false">
      <c r="A17" s="59" t="s">
        <v>60</v>
      </c>
      <c r="B17" s="67" t="n">
        <v>56</v>
      </c>
      <c r="C17" s="59" t="s">
        <v>51</v>
      </c>
      <c r="E17" s="55" t="s">
        <v>418</v>
      </c>
    </row>
    <row r="18" customFormat="false" ht="15" hidden="false" customHeight="false" outlineLevel="0" collapsed="false">
      <c r="A18" s="59" t="s">
        <v>53</v>
      </c>
      <c r="B18" s="67" t="n">
        <v>128</v>
      </c>
      <c r="C18" s="59" t="s">
        <v>54</v>
      </c>
      <c r="E18" s="55" t="s">
        <v>419</v>
      </c>
    </row>
    <row r="19" customFormat="false" ht="15" hidden="false" customHeight="false" outlineLevel="0" collapsed="false">
      <c r="A19" s="59" t="s">
        <v>56</v>
      </c>
      <c r="B19" s="67" t="n">
        <v>6</v>
      </c>
      <c r="C19" s="59" t="s">
        <v>57</v>
      </c>
      <c r="E19" s="55" t="s">
        <v>420</v>
      </c>
    </row>
    <row r="20" customFormat="false" ht="15" hidden="false" customHeight="false" outlineLevel="0" collapsed="false">
      <c r="A20" s="59" t="s">
        <v>58</v>
      </c>
      <c r="B20" s="68" t="n">
        <v>15.36</v>
      </c>
      <c r="C20" s="59" t="s">
        <v>59</v>
      </c>
      <c r="E20" s="55" t="s">
        <v>421</v>
      </c>
    </row>
    <row r="21" customFormat="false" ht="15" hidden="false" customHeight="false" outlineLevel="0" collapsed="false">
      <c r="A21" s="59" t="s">
        <v>422</v>
      </c>
      <c r="B21" s="68" t="n">
        <v>1.5</v>
      </c>
      <c r="C21" s="59" t="s">
        <v>423</v>
      </c>
      <c r="E21" s="55" t="s">
        <v>424</v>
      </c>
    </row>
    <row r="22" customFormat="false" ht="15" hidden="false" customHeight="false" outlineLevel="0" collapsed="false">
      <c r="A22" s="59" t="s">
        <v>425</v>
      </c>
      <c r="B22" s="65" t="n">
        <v>5000</v>
      </c>
      <c r="C22" s="59" t="s">
        <v>48</v>
      </c>
      <c r="E22" s="55" t="s">
        <v>426</v>
      </c>
    </row>
    <row r="23" customFormat="false" ht="15" hidden="false" customHeight="false" outlineLevel="0" collapsed="false">
      <c r="A23" s="59" t="s">
        <v>198</v>
      </c>
      <c r="B23" s="69" t="n">
        <v>3000</v>
      </c>
      <c r="C23" s="59" t="s">
        <v>48</v>
      </c>
      <c r="E23" s="55" t="s">
        <v>427</v>
      </c>
    </row>
    <row r="24" customFormat="false" ht="15" hidden="false" customHeight="false" outlineLevel="0" collapsed="false">
      <c r="A24" s="59" t="s">
        <v>428</v>
      </c>
      <c r="B24" s="69" t="n">
        <v>18000</v>
      </c>
      <c r="C24" s="59" t="s">
        <v>48</v>
      </c>
      <c r="E24" s="55" t="s">
        <v>429</v>
      </c>
    </row>
    <row r="25" customFormat="false" ht="15" hidden="false" customHeight="false" outlineLevel="0" collapsed="false">
      <c r="A25" s="59" t="s">
        <v>430</v>
      </c>
      <c r="B25" s="69" t="n">
        <v>22400</v>
      </c>
      <c r="C25" s="59" t="s">
        <v>48</v>
      </c>
      <c r="E25" s="55" t="s">
        <v>431</v>
      </c>
    </row>
    <row r="26" customFormat="false" ht="15" hidden="false" customHeight="false" outlineLevel="0" collapsed="false">
      <c r="A26" s="59" t="s">
        <v>88</v>
      </c>
      <c r="B26" s="70" t="n">
        <v>0.12</v>
      </c>
      <c r="C26" s="59" t="s">
        <v>89</v>
      </c>
      <c r="E26" s="55" t="s">
        <v>432</v>
      </c>
    </row>
    <row r="27" customFormat="false" ht="15" hidden="false" customHeight="false" outlineLevel="0" collapsed="false">
      <c r="A27" s="59" t="s">
        <v>433</v>
      </c>
      <c r="B27" s="65" t="n">
        <v>4413</v>
      </c>
      <c r="C27" s="59" t="s">
        <v>93</v>
      </c>
      <c r="E27" s="55" t="s">
        <v>434</v>
      </c>
    </row>
    <row r="28" customFormat="false" ht="15" hidden="false" customHeight="false" outlineLevel="0" collapsed="false">
      <c r="A28" s="59" t="s">
        <v>435</v>
      </c>
      <c r="B28" s="67" t="n">
        <v>48</v>
      </c>
      <c r="C28" s="59" t="s">
        <v>124</v>
      </c>
      <c r="E28" s="55"/>
    </row>
    <row r="29" customFormat="false" ht="15" hidden="false" customHeight="false" outlineLevel="0" collapsed="false">
      <c r="A29" s="59" t="s">
        <v>174</v>
      </c>
      <c r="B29" s="71" t="n">
        <v>3.5</v>
      </c>
      <c r="C29" s="59" t="s">
        <v>423</v>
      </c>
      <c r="E29" s="55" t="s">
        <v>436</v>
      </c>
    </row>
    <row r="30" customFormat="false" ht="15" hidden="false" customHeight="false" outlineLevel="0" collapsed="false">
      <c r="A30" s="59" t="s">
        <v>437</v>
      </c>
      <c r="B30" s="70" t="n">
        <v>0.75</v>
      </c>
      <c r="C30" s="59" t="s">
        <v>438</v>
      </c>
      <c r="E30" s="55" t="s">
        <v>419</v>
      </c>
    </row>
    <row r="31" customFormat="false" ht="15" hidden="false" customHeight="false" outlineLevel="0" collapsed="false">
      <c r="A31" s="59" t="s">
        <v>439</v>
      </c>
      <c r="B31" s="70" t="n">
        <v>0.049</v>
      </c>
      <c r="C31" s="59" t="s">
        <v>438</v>
      </c>
      <c r="E31" s="55" t="s">
        <v>440</v>
      </c>
    </row>
    <row r="33" customFormat="false" ht="15" hidden="false" customHeight="false" outlineLevel="0" collapsed="false">
      <c r="A33" s="56" t="s">
        <v>441</v>
      </c>
      <c r="B33" s="57"/>
      <c r="C33" s="57"/>
      <c r="D33" s="57"/>
      <c r="E33" s="57"/>
    </row>
    <row r="34" customFormat="false" ht="15" hidden="false" customHeight="false" outlineLevel="0" collapsed="false">
      <c r="A34" s="10" t="s">
        <v>148</v>
      </c>
      <c r="B34" s="10" t="s">
        <v>442</v>
      </c>
      <c r="C34" s="10" t="s">
        <v>150</v>
      </c>
      <c r="D34" s="10" t="s">
        <v>151</v>
      </c>
      <c r="E34" s="10" t="s">
        <v>152</v>
      </c>
      <c r="F34" s="72" t="s">
        <v>443</v>
      </c>
      <c r="G34" s="72" t="s">
        <v>444</v>
      </c>
    </row>
    <row r="35" customFormat="false" ht="15" hidden="false" customHeight="false" outlineLevel="0" collapsed="false">
      <c r="A35" s="59" t="s">
        <v>156</v>
      </c>
      <c r="B35" s="70" t="n">
        <v>0.2</v>
      </c>
      <c r="C35" s="67" t="n">
        <v>1</v>
      </c>
      <c r="D35" s="67" t="n">
        <v>2</v>
      </c>
      <c r="E35" s="67" t="n">
        <v>40</v>
      </c>
      <c r="F35" s="65" t="n">
        <v>18</v>
      </c>
      <c r="G35" s="55" t="s">
        <v>445</v>
      </c>
    </row>
    <row r="36" customFormat="false" ht="15" hidden="false" customHeight="false" outlineLevel="0" collapsed="false">
      <c r="A36" s="59" t="s">
        <v>157</v>
      </c>
      <c r="B36" s="70" t="n">
        <v>0.35</v>
      </c>
      <c r="C36" s="67" t="n">
        <v>2</v>
      </c>
      <c r="D36" s="67" t="n">
        <v>4</v>
      </c>
      <c r="E36" s="67" t="n">
        <v>80</v>
      </c>
      <c r="F36" s="65" t="n">
        <v>34</v>
      </c>
      <c r="G36" s="55" t="s">
        <v>446</v>
      </c>
    </row>
    <row r="37" customFormat="false" ht="15" hidden="false" customHeight="false" outlineLevel="0" collapsed="false">
      <c r="A37" s="59" t="s">
        <v>158</v>
      </c>
      <c r="B37" s="70" t="n">
        <v>0.25</v>
      </c>
      <c r="C37" s="67" t="n">
        <v>4</v>
      </c>
      <c r="D37" s="67" t="n">
        <v>8</v>
      </c>
      <c r="E37" s="67" t="n">
        <v>160</v>
      </c>
      <c r="F37" s="65" t="n">
        <v>65</v>
      </c>
      <c r="G37" s="55" t="s">
        <v>447</v>
      </c>
    </row>
    <row r="38" customFormat="false" ht="15" hidden="false" customHeight="false" outlineLevel="0" collapsed="false">
      <c r="A38" s="59" t="s">
        <v>159</v>
      </c>
      <c r="B38" s="70" t="n">
        <v>0.15</v>
      </c>
      <c r="C38" s="67" t="n">
        <v>8</v>
      </c>
      <c r="D38" s="67" t="n">
        <v>16</v>
      </c>
      <c r="E38" s="67" t="n">
        <v>320</v>
      </c>
      <c r="F38" s="65" t="n">
        <v>128</v>
      </c>
      <c r="G38" s="55" t="s">
        <v>448</v>
      </c>
    </row>
    <row r="39" customFormat="false" ht="15" hidden="false" customHeight="false" outlineLevel="0" collapsed="false">
      <c r="A39" s="59" t="s">
        <v>160</v>
      </c>
      <c r="B39" s="70" t="n">
        <v>0.05</v>
      </c>
      <c r="C39" s="67" t="n">
        <v>16</v>
      </c>
      <c r="D39" s="67" t="n">
        <v>32</v>
      </c>
      <c r="E39" s="67" t="n">
        <v>640</v>
      </c>
      <c r="F39" s="65" t="n">
        <v>255</v>
      </c>
      <c r="G39" s="55" t="s">
        <v>449</v>
      </c>
    </row>
    <row r="40" customFormat="false" ht="15" hidden="false" customHeight="false" outlineLevel="0" collapsed="false">
      <c r="A40" s="73" t="s">
        <v>450</v>
      </c>
      <c r="B40" s="74" t="n">
        <f aca="false">SUM(B35:B39)</f>
        <v>1</v>
      </c>
      <c r="C40" s="75" t="n">
        <f aca="false">SUMPRODUCT($B$35:$B$39,C35:C39)/$B$40</f>
        <v>3.9</v>
      </c>
      <c r="D40" s="75" t="n">
        <f aca="false">SUMPRODUCT($B$35:$B$39,D35:D39)/$B$40</f>
        <v>7.8</v>
      </c>
      <c r="E40" s="75" t="n">
        <f aca="false">SUMPRODUCT($B$35:$B$39,E35:E39)/$B$40</f>
        <v>156</v>
      </c>
      <c r="F40" s="76" t="n">
        <f aca="false">SUMPRODUCT($B$35:$B$39,F35:F39)/$B$40</f>
        <v>63.7</v>
      </c>
    </row>
    <row r="42" customFormat="false" ht="15" hidden="false" customHeight="false" outlineLevel="0" collapsed="false">
      <c r="A42" s="56" t="s">
        <v>451</v>
      </c>
      <c r="B42" s="57"/>
      <c r="C42" s="57"/>
      <c r="D42" s="57"/>
      <c r="E42" s="57"/>
    </row>
    <row r="43" customFormat="false" ht="15" hidden="false" customHeight="false" outlineLevel="0" collapsed="false">
      <c r="A43" s="10" t="s">
        <v>252</v>
      </c>
      <c r="B43" s="10" t="s">
        <v>186</v>
      </c>
      <c r="C43" s="10" t="s">
        <v>187</v>
      </c>
      <c r="D43" s="10" t="s">
        <v>188</v>
      </c>
      <c r="E43" s="10" t="s">
        <v>155</v>
      </c>
    </row>
    <row r="44" customFormat="false" ht="15" hidden="false" customHeight="false" outlineLevel="0" collapsed="false">
      <c r="A44" s="59" t="s">
        <v>189</v>
      </c>
      <c r="B44" s="77" t="n">
        <v>3</v>
      </c>
      <c r="C44" s="77" t="n">
        <v>5</v>
      </c>
      <c r="D44" s="77" t="n">
        <v>10</v>
      </c>
      <c r="E44" s="55"/>
    </row>
    <row r="45" customFormat="false" ht="15" hidden="false" customHeight="false" outlineLevel="0" collapsed="false">
      <c r="A45" s="59" t="s">
        <v>253</v>
      </c>
      <c r="B45" s="78" t="n">
        <v>0.6</v>
      </c>
      <c r="C45" s="78" t="n">
        <v>0.7</v>
      </c>
      <c r="D45" s="78" t="n">
        <v>0.75</v>
      </c>
      <c r="E45" s="55" t="s">
        <v>452</v>
      </c>
    </row>
    <row r="46" customFormat="false" ht="15" hidden="false" customHeight="false" outlineLevel="0" collapsed="false">
      <c r="A46" s="59" t="s">
        <v>255</v>
      </c>
      <c r="B46" s="79" t="n">
        <f aca="false">($B$16-$B$17)/$D$40</f>
        <v>124.102564102564</v>
      </c>
      <c r="C46" s="79" t="n">
        <f aca="false">($B$16-$B$17)/$D$40</f>
        <v>124.102564102564</v>
      </c>
      <c r="D46" s="79" t="n">
        <f aca="false">($B$16-$B$17)/$D$40</f>
        <v>124.102564102564</v>
      </c>
      <c r="E46" s="55"/>
    </row>
    <row r="47" customFormat="false" ht="15" hidden="false" customHeight="false" outlineLevel="0" collapsed="false">
      <c r="A47" s="59" t="s">
        <v>257</v>
      </c>
      <c r="B47" s="79" t="n">
        <f aca="false">$B$18*$B$29/$C$40</f>
        <v>114.871794871795</v>
      </c>
      <c r="C47" s="79" t="n">
        <f aca="false">$B$18*$B$29/$C$40</f>
        <v>114.871794871795</v>
      </c>
      <c r="D47" s="79" t="n">
        <f aca="false">$B$18*$B$29/$C$40</f>
        <v>114.871794871795</v>
      </c>
      <c r="E47" s="55"/>
    </row>
    <row r="48" customFormat="false" ht="15" hidden="false" customHeight="false" outlineLevel="0" collapsed="false">
      <c r="A48" s="59" t="s">
        <v>258</v>
      </c>
      <c r="B48" s="79" t="n">
        <f aca="false">$B$19*$B$20*1000/3*B45*$B$21/$E$40</f>
        <v>177.230769230769</v>
      </c>
      <c r="C48" s="79" t="n">
        <f aca="false">$B$19*$B$20*1000/3*C45*$B$21/$E$40</f>
        <v>206.769230769231</v>
      </c>
      <c r="D48" s="79" t="n">
        <f aca="false">$B$19*$B$20*1000/3*D45*$B$21/$E$40</f>
        <v>221.538461538462</v>
      </c>
      <c r="E48" s="55" t="s">
        <v>453</v>
      </c>
    </row>
    <row r="49" customFormat="false" ht="15" hidden="false" customHeight="false" outlineLevel="0" collapsed="false">
      <c r="A49" s="73" t="s">
        <v>179</v>
      </c>
      <c r="B49" s="75" t="n">
        <f aca="false">MIN(B46,B47,B48)</f>
        <v>114.871794871795</v>
      </c>
      <c r="C49" s="75" t="n">
        <f aca="false">MIN(C46,C47,C48)</f>
        <v>114.871794871795</v>
      </c>
      <c r="D49" s="75" t="n">
        <f aca="false">MIN(D46,D47,D48)</f>
        <v>114.871794871795</v>
      </c>
      <c r="E49" s="80" t="s">
        <v>454</v>
      </c>
    </row>
    <row r="50" customFormat="false" ht="15" hidden="false" customHeight="false" outlineLevel="0" collapsed="false">
      <c r="A50" s="73" t="s">
        <v>455</v>
      </c>
      <c r="B50" s="81" t="n">
        <f aca="false">B49*(B44-1)</f>
        <v>229.74358974359</v>
      </c>
      <c r="C50" s="81" t="n">
        <f aca="false">C49*(C44-1)</f>
        <v>459.48717948718</v>
      </c>
      <c r="D50" s="81" t="n">
        <f aca="false">D49*(D44-1)</f>
        <v>1033.84615384615</v>
      </c>
      <c r="E50" s="80"/>
    </row>
    <row r="51" customFormat="false" ht="15" hidden="false" customHeight="false" outlineLevel="0" collapsed="false">
      <c r="A51" s="59" t="s">
        <v>456</v>
      </c>
      <c r="B51" s="77" t="n">
        <f aca="false">B50*$B$30</f>
        <v>172.307692307692</v>
      </c>
      <c r="C51" s="77" t="n">
        <f aca="false">C50*$B$30</f>
        <v>344.615384615385</v>
      </c>
      <c r="D51" s="77" t="n">
        <f aca="false">D50*$B$30</f>
        <v>775.384615384615</v>
      </c>
      <c r="E51" s="55"/>
    </row>
    <row r="53" customFormat="false" ht="15" hidden="false" customHeight="false" outlineLevel="0" collapsed="false">
      <c r="A53" s="56" t="s">
        <v>457</v>
      </c>
      <c r="B53" s="57"/>
      <c r="C53" s="57"/>
      <c r="D53" s="57"/>
      <c r="E53" s="57"/>
    </row>
    <row r="54" customFormat="false" ht="15" hidden="false" customHeight="false" outlineLevel="0" collapsed="false">
      <c r="A54" s="10" t="s">
        <v>252</v>
      </c>
      <c r="B54" s="10" t="s">
        <v>186</v>
      </c>
      <c r="C54" s="10" t="s">
        <v>187</v>
      </c>
      <c r="D54" s="10" t="s">
        <v>188</v>
      </c>
      <c r="E54" s="10" t="s">
        <v>155</v>
      </c>
    </row>
    <row r="55" customFormat="false" ht="15" hidden="false" customHeight="false" outlineLevel="0" collapsed="false">
      <c r="A55" s="59" t="s">
        <v>458</v>
      </c>
      <c r="B55" s="82" t="n">
        <f aca="false">$B$15*3+$B$22+$B$23+$B$24</f>
        <v>74000</v>
      </c>
      <c r="C55" s="82" t="n">
        <f aca="false">$B$15*5+$B$22+$B$23+$B$24</f>
        <v>106000</v>
      </c>
      <c r="D55" s="82" t="n">
        <f aca="false">$B$15*10+$B$22+$B$23+$B$24</f>
        <v>186000</v>
      </c>
      <c r="E55" s="55" t="s">
        <v>459</v>
      </c>
    </row>
    <row r="56" customFormat="false" ht="15" hidden="false" customHeight="false" outlineLevel="0" collapsed="false">
      <c r="A56" s="59" t="s">
        <v>293</v>
      </c>
      <c r="B56" s="82" t="n">
        <f aca="false">(B55+$B$25)*(1+$B$26)</f>
        <v>107968</v>
      </c>
      <c r="C56" s="82" t="n">
        <f aca="false">(C55+$B$25)*(1+$B$26)</f>
        <v>143808</v>
      </c>
      <c r="D56" s="82" t="n">
        <f aca="false">(D55+$B$25)*(1+$B$26)</f>
        <v>233408</v>
      </c>
      <c r="E56" s="55" t="s">
        <v>460</v>
      </c>
    </row>
    <row r="57" customFormat="false" ht="15" hidden="false" customHeight="false" outlineLevel="0" collapsed="false">
      <c r="A57" s="59" t="s">
        <v>461</v>
      </c>
      <c r="B57" s="82" t="n">
        <f aca="false">B55/$B$28</f>
        <v>1541.66666666667</v>
      </c>
      <c r="C57" s="82" t="n">
        <f aca="false">C55/$B$28</f>
        <v>2208.33333333333</v>
      </c>
      <c r="D57" s="82" t="n">
        <f aca="false">D55/$B$28</f>
        <v>3875</v>
      </c>
      <c r="E57" s="55"/>
    </row>
    <row r="58" customFormat="false" ht="15" hidden="false" customHeight="false" outlineLevel="0" collapsed="false">
      <c r="A58" s="59" t="s">
        <v>312</v>
      </c>
      <c r="B58" s="82" t="n">
        <f aca="false">$B$27*1</f>
        <v>4413</v>
      </c>
      <c r="C58" s="82" t="n">
        <f aca="false">$B$27*1.0145</f>
        <v>4476.9885</v>
      </c>
      <c r="D58" s="82" t="n">
        <f aca="false">$B$27*1.445</f>
        <v>6376.785</v>
      </c>
      <c r="E58" s="55" t="s">
        <v>462</v>
      </c>
    </row>
    <row r="59" customFormat="false" ht="15" hidden="false" customHeight="false" outlineLevel="0" collapsed="false">
      <c r="A59" s="59" t="s">
        <v>313</v>
      </c>
      <c r="B59" s="82" t="n">
        <f aca="false">B58+B57</f>
        <v>5954.66666666667</v>
      </c>
      <c r="C59" s="82" t="n">
        <f aca="false">C58+C57</f>
        <v>6685.32183333333</v>
      </c>
      <c r="D59" s="82" t="n">
        <f aca="false">D58+D57</f>
        <v>10251.785</v>
      </c>
      <c r="E59" s="55"/>
    </row>
    <row r="60" customFormat="false" ht="15" hidden="false" customHeight="false" outlineLevel="0" collapsed="false">
      <c r="A60" s="59" t="s">
        <v>270</v>
      </c>
      <c r="B60" s="83" t="n">
        <f aca="false">$F$40</f>
        <v>63.7</v>
      </c>
      <c r="C60" s="83" t="n">
        <f aca="false">$F$40</f>
        <v>63.7</v>
      </c>
      <c r="D60" s="83" t="n">
        <f aca="false">$F$40</f>
        <v>63.7</v>
      </c>
      <c r="E60" s="55" t="s">
        <v>463</v>
      </c>
    </row>
    <row r="61" customFormat="false" ht="15" hidden="false" customHeight="false" outlineLevel="0" collapsed="false">
      <c r="A61" s="59" t="s">
        <v>282</v>
      </c>
      <c r="B61" s="83" t="n">
        <f aca="false">B60*(1-$B$31)</f>
        <v>60.5787</v>
      </c>
      <c r="C61" s="83" t="n">
        <f aca="false">C60*(1-$B$31)</f>
        <v>60.5787</v>
      </c>
      <c r="D61" s="83" t="n">
        <f aca="false">D60*(1-$B$31)</f>
        <v>60.5787</v>
      </c>
      <c r="E61" s="55" t="s">
        <v>464</v>
      </c>
    </row>
    <row r="62" customFormat="false" ht="15" hidden="false" customHeight="false" outlineLevel="0" collapsed="false">
      <c r="A62" s="59" t="s">
        <v>465</v>
      </c>
      <c r="B62" s="82" t="n">
        <f aca="false">B51*B61</f>
        <v>10438.176</v>
      </c>
      <c r="C62" s="82" t="n">
        <f aca="false">C51*C61</f>
        <v>20876.352</v>
      </c>
      <c r="D62" s="82" t="n">
        <f aca="false">D51*D61</f>
        <v>46971.792</v>
      </c>
      <c r="E62" s="55"/>
    </row>
    <row r="63" customFormat="false" ht="15" hidden="false" customHeight="false" outlineLevel="0" collapsed="false">
      <c r="A63" s="73" t="s">
        <v>286</v>
      </c>
      <c r="B63" s="81" t="n">
        <f aca="false">IF(B61=0,0,B59/B61)</f>
        <v>98.2963758988996</v>
      </c>
      <c r="C63" s="81" t="n">
        <f aca="false">IF(C61=0,0,C59/C61)</f>
        <v>110.357631202606</v>
      </c>
      <c r="D63" s="81" t="n">
        <f aca="false">IF(D61=0,0,D59/D61)</f>
        <v>169.230851768031</v>
      </c>
      <c r="E63" s="80"/>
    </row>
    <row r="64" customFormat="false" ht="15" hidden="false" customHeight="false" outlineLevel="0" collapsed="false">
      <c r="A64" s="73" t="s">
        <v>288</v>
      </c>
      <c r="B64" s="74" t="n">
        <f aca="false">IF(B50=0,0,B63/B50)</f>
        <v>0.427852529024228</v>
      </c>
      <c r="C64" s="74" t="n">
        <f aca="false">IF(C50=0,0,C63/C50)</f>
        <v>0.240175648264601</v>
      </c>
      <c r="D64" s="74" t="n">
        <f aca="false">IF(D50=0,0,D63/D50)</f>
        <v>0.163690556025625</v>
      </c>
      <c r="E64" s="80" t="s">
        <v>466</v>
      </c>
    </row>
    <row r="65" customFormat="false" ht="15" hidden="false" customHeight="false" outlineLevel="0" collapsed="false">
      <c r="A65" s="73" t="s">
        <v>291</v>
      </c>
      <c r="B65" s="76" t="n">
        <f aca="false">B62-B59</f>
        <v>4483.50933333333</v>
      </c>
      <c r="C65" s="76" t="n">
        <f aca="false">C62-C59</f>
        <v>14191.0301666667</v>
      </c>
      <c r="D65" s="76" t="n">
        <f aca="false">D62-D59</f>
        <v>36720.007</v>
      </c>
      <c r="E65" s="80"/>
    </row>
    <row r="66" customFormat="false" ht="15" hidden="false" customHeight="false" outlineLevel="0" collapsed="false">
      <c r="A66" s="59" t="s">
        <v>292</v>
      </c>
      <c r="B66" s="84" t="n">
        <f aca="false">IF(B62=0,0,B65/B62)</f>
        <v>0.429529961301029</v>
      </c>
      <c r="C66" s="84" t="n">
        <f aca="false">IF(C62=0,0,C65/C62)</f>
        <v>0.679765802313865</v>
      </c>
      <c r="D66" s="84" t="n">
        <f aca="false">IF(D62=0,0,D65/D62)</f>
        <v>0.781745925299167</v>
      </c>
      <c r="E66" s="55"/>
    </row>
    <row r="67" customFormat="false" ht="15" hidden="false" customHeight="false" outlineLevel="0" collapsed="false">
      <c r="A67" s="73" t="s">
        <v>467</v>
      </c>
      <c r="B67" s="75" t="n">
        <f aca="false">IF(B65&lt;=0,"never",B56/B65)</f>
        <v>24.0811364431196</v>
      </c>
      <c r="C67" s="75" t="n">
        <f aca="false">IF(C65&lt;=0,"never",C56/C65)</f>
        <v>10.1337251990198</v>
      </c>
      <c r="D67" s="75" t="n">
        <f aca="false">IF(D65&lt;=0,"never",D56/D65)</f>
        <v>6.3564258035136</v>
      </c>
      <c r="E67" s="80"/>
    </row>
    <row r="69" customFormat="false" ht="15" hidden="false" customHeight="false" outlineLevel="0" collapsed="false">
      <c r="A69" s="56" t="s">
        <v>468</v>
      </c>
      <c r="B69" s="57"/>
      <c r="C69" s="57"/>
      <c r="D69" s="57"/>
      <c r="E69" s="57"/>
    </row>
    <row r="70" customFormat="false" ht="15" hidden="false" customHeight="false" outlineLevel="0" collapsed="false">
      <c r="A70" s="10" t="s">
        <v>252</v>
      </c>
      <c r="B70" s="10" t="s">
        <v>444</v>
      </c>
      <c r="C70" s="10" t="s">
        <v>469</v>
      </c>
      <c r="D70" s="10" t="s">
        <v>470</v>
      </c>
      <c r="E70" s="10" t="s">
        <v>155</v>
      </c>
    </row>
    <row r="71" customFormat="false" ht="15" hidden="false" customHeight="false" outlineLevel="0" collapsed="false">
      <c r="A71" s="59" t="s">
        <v>471</v>
      </c>
      <c r="B71" s="85" t="n">
        <f aca="false">'Revenue &amp; Pricing'!B15</f>
        <v>59.0769230769231</v>
      </c>
      <c r="C71" s="60" t="n">
        <f aca="false">B49</f>
        <v>114.871794871795</v>
      </c>
      <c r="D71" s="84" t="n">
        <f aca="false">IF(B71=0,"-",C71/B71-1)</f>
        <v>0.944444444444444</v>
      </c>
    </row>
    <row r="72" customFormat="false" ht="15" hidden="false" customHeight="false" outlineLevel="0" collapsed="false">
      <c r="A72" s="59" t="s">
        <v>266</v>
      </c>
      <c r="B72" s="86" t="n">
        <f aca="false">'Revenue &amp; Pricing'!B18</f>
        <v>118.153846153846</v>
      </c>
      <c r="C72" s="87" t="n">
        <f aca="false">B50</f>
        <v>229.74358974359</v>
      </c>
      <c r="D72" s="84" t="n">
        <f aca="false">IF(B72=0,"-",C72/B72-1)</f>
        <v>0.944444444444445</v>
      </c>
    </row>
    <row r="73" customFormat="false" ht="15" hidden="false" customHeight="false" outlineLevel="0" collapsed="false">
      <c r="A73" s="59" t="s">
        <v>472</v>
      </c>
      <c r="B73" s="88" t="n">
        <f aca="false">Capacity!$B$24</f>
        <v>28.55</v>
      </c>
      <c r="C73" s="89" t="n">
        <f aca="false">$F$40</f>
        <v>63.7</v>
      </c>
      <c r="D73" s="84" t="n">
        <f aca="false">IF(B73=0,"-",C73/B73-1)</f>
        <v>1.23117338003503</v>
      </c>
    </row>
    <row r="74" customFormat="false" ht="15" hidden="false" customHeight="false" outlineLevel="0" collapsed="false">
      <c r="A74" s="59" t="s">
        <v>293</v>
      </c>
      <c r="B74" s="90" t="n">
        <f aca="false">'Startup Costs'!B26</f>
        <v>112448</v>
      </c>
      <c r="C74" s="91" t="n">
        <f aca="false">B56</f>
        <v>107968</v>
      </c>
      <c r="D74" s="84" t="n">
        <f aca="false">IF(B74=0,"-",C74/B74-1)</f>
        <v>-0.0398406374501991</v>
      </c>
    </row>
    <row r="75" customFormat="false" ht="15" hidden="false" customHeight="false" outlineLevel="0" collapsed="false">
      <c r="A75" s="59" t="s">
        <v>313</v>
      </c>
      <c r="B75" s="90" t="n">
        <f aca="false">'Monthly Opex'!B26</f>
        <v>6038</v>
      </c>
      <c r="C75" s="91" t="n">
        <f aca="false">B59</f>
        <v>5954.66666666667</v>
      </c>
      <c r="D75" s="84" t="n">
        <f aca="false">IF(B75=0,"-",C75/B75-1)</f>
        <v>-0.0138014795186043</v>
      </c>
    </row>
    <row r="76" customFormat="false" ht="15" hidden="false" customHeight="false" outlineLevel="0" collapsed="false">
      <c r="A76" s="59" t="s">
        <v>473</v>
      </c>
      <c r="B76" s="86" t="n">
        <f aca="false">'Break-Even'!B9</f>
        <v>222.385506269555</v>
      </c>
      <c r="C76" s="87" t="n">
        <f aca="false">B63</f>
        <v>98.2963758988996</v>
      </c>
      <c r="D76" s="84" t="n">
        <f aca="false">IF(B76=0,"-",C76/B76-1)</f>
        <v>-0.557991086974194</v>
      </c>
    </row>
    <row r="77" customFormat="false" ht="15" hidden="false" customHeight="false" outlineLevel="0" collapsed="false">
      <c r="A77" s="59" t="s">
        <v>317</v>
      </c>
      <c r="B77" s="92" t="n">
        <f aca="false">'Break-Even'!B11</f>
        <v>1.88216899837514</v>
      </c>
      <c r="C77" s="93" t="n">
        <f aca="false">B64</f>
        <v>0.427852529024228</v>
      </c>
      <c r="D77" s="84" t="n">
        <f aca="false">IF(B77=0,"-",C77/B77-1)</f>
        <v>-0.772681130443871</v>
      </c>
    </row>
    <row r="78" customFormat="false" ht="15" hidden="false" customHeight="false" outlineLevel="0" collapsed="false">
      <c r="A78" s="59" t="s">
        <v>319</v>
      </c>
      <c r="B78" s="90" t="n">
        <f aca="false">'Break-Even'!B13</f>
        <v>-3631.99926153846</v>
      </c>
      <c r="C78" s="91" t="n">
        <f aca="false">B65</f>
        <v>4483.50933333333</v>
      </c>
      <c r="D78" s="84" t="n">
        <f aca="false">IF(B78=0,"-",C78/B78-1)</f>
        <v>-2.2344466533383</v>
      </c>
    </row>
    <row r="80" customFormat="false" ht="15" hidden="false" customHeight="false" outlineLevel="0" collapsed="false">
      <c r="A80" s="58" t="s">
        <v>305</v>
      </c>
    </row>
    <row r="81" customFormat="false" ht="15" hidden="false" customHeight="false" outlineLevel="0" collapsed="false">
      <c r="A81" s="55" t="s">
        <v>474</v>
      </c>
    </row>
    <row r="82" customFormat="false" ht="15" hidden="false" customHeight="false" outlineLevel="0" collapsed="false">
      <c r="A82" s="55" t="s">
        <v>475</v>
      </c>
    </row>
    <row r="83" customFormat="false" ht="15" hidden="false" customHeight="false" outlineLevel="0" collapsed="false">
      <c r="A83" s="55"/>
    </row>
    <row r="84" customFormat="false" ht="15" hidden="false" customHeight="false" outlineLevel="0" collapsed="false">
      <c r="A84" s="55" t="s">
        <v>476</v>
      </c>
    </row>
    <row r="85" customFormat="false" ht="15" hidden="false" customHeight="false" outlineLevel="0" collapsed="false">
      <c r="A85" s="55" t="s">
        <v>477</v>
      </c>
    </row>
    <row r="86" customFormat="false" ht="15" hidden="false" customHeight="false" outlineLevel="0" collapsed="false">
      <c r="A86" s="55"/>
    </row>
    <row r="87" customFormat="false" ht="15" hidden="false" customHeight="false" outlineLevel="0" collapsed="false">
      <c r="A87" s="55" t="s">
        <v>478</v>
      </c>
    </row>
    <row r="88" customFormat="false" ht="15" hidden="false" customHeight="false" outlineLevel="0" collapsed="false">
      <c r="A88" s="55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2026-08-14T08:42:48Z</dcterms:created>
  <dc:creator>openpyxl</dc:creator>
  <dc:description/>
  <dc:language>en-US</dc:language>
  <cp:lastModifiedBy/>
  <dcterms:modified xsi:type="dcterms:W3CDTF">2026-08-14T14:21:26Z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